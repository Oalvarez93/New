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ortización" sheetId="1" state="visible" r:id="rId3"/>
    <sheet name="Gaby" sheetId="2" state="visible" r:id="rId4"/>
    <sheet name="Gerson" sheetId="3" state="visible" r:id="rId5"/>
    <sheet name="Total" sheetId="4" state="visible" r:id="rId6"/>
    <sheet name="Foto origin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Encabezados agregados: la imagen no muestra los títulos de columna.</t>
        </r>
      </text>
    </comment>
    <comment ref="D65" authorId="0">
      <text>
        <r>
          <rPr>
            <sz val="10"/>
            <rFont val="Arial"/>
            <family val="2"/>
          </rPr>
          <t xml:space="preserve">MIN con el saldo: la última cuota de capital se ajusta (1,666.47) para dejar el saldo en cero.</t>
        </r>
      </text>
    </comment>
    <comment ref="E6" authorId="0">
      <text>
        <r>
          <rPr>
            <sz val="10"/>
            <rFont val="Arial"/>
            <family val="2"/>
          </rPr>
          <t xml:space="preserve">Interés = saldo anterior × tasa anual × (días del periodo / días del año). Si el periodo cruza el 1-ene (cuotas de enero), los días de cada año se dividen entre los días de ese año (365 o 366). Es la misma regla que usa el documento.</t>
        </r>
      </text>
    </comment>
    <comment ref="J5" authorId="0">
      <text>
        <r>
          <rPr>
            <sz val="10"/>
            <rFont val="Arial"/>
            <family val="2"/>
          </rPr>
          <t xml:space="preserve">Dato proporcionado por el usuario.</t>
        </r>
      </text>
    </comment>
    <comment ref="J6" authorId="0">
      <text>
        <r>
          <rPr>
            <sz val="10"/>
            <rFont val="Arial"/>
            <family val="2"/>
          </rPr>
          <t xml:space="preserve">Deducida de la foto: cada interés = saldo anterior × 14% × días / días del año (366 en 2028). Con esta tasa la fórmula reproduce al centavo las 47 cuotas del documento.</t>
        </r>
      </text>
    </comment>
    <comment ref="J7" authorId="0">
      <text>
        <r>
          <rPr>
            <sz val="10"/>
            <rFont val="Arial"/>
            <family val="2"/>
          </rPr>
          <t xml:space="preserve">Inferido: 100,000 / 1,666.67 de capital fijo = 60 cuotas.</t>
        </r>
      </text>
    </comment>
    <comment ref="J9" authorId="0">
      <text>
        <r>
          <rPr>
            <sz val="10"/>
            <rFont val="Arial"/>
            <family val="2"/>
          </rPr>
          <t xml:space="preserve">Inferida: el interés de la primera cuota corresponde a 28 días (31-ene al 28-feb-2026).</t>
        </r>
      </text>
    </comment>
    <comment ref="J14" authorId="0">
      <text>
        <r>
          <rPr>
            <sz val="10"/>
            <rFont val="Arial"/>
            <family val="2"/>
          </rPr>
          <t xml:space="preserve">Capitalización mensual de la tasa nominal: (1 + 14%/12)^12 − 1.</t>
        </r>
      </text>
    </comment>
    <comment ref="J20" authorId="0">
      <text>
        <r>
          <rPr>
            <sz val="10"/>
            <rFont val="Arial"/>
            <family val="2"/>
          </rPr>
          <t xml:space="preserve">Suma de diferencias absolutas entre el interés calculado y el de la foto (47 cuotas). 0 = cuadra al centavo.</t>
        </r>
      </text>
    </comment>
    <comment ref="J24" authorId="0">
      <text>
        <r>
          <rPr>
            <sz val="10"/>
            <rFont val="Arial"/>
            <family val="2"/>
          </rPr>
          <t xml:space="preserve">Dato del usuario: el banco descontó 2,000 del desembolso, todo de la parte de Gaby.</t>
        </r>
      </text>
    </comment>
    <comment ref="J25" authorId="0">
      <text>
        <r>
          <rPr>
            <sz val="10"/>
            <rFont val="Arial"/>
            <family val="2"/>
          </rPr>
          <t xml:space="preserve">50,000 − 2,000 de gastos administrativos (dato del usuario).</t>
        </r>
      </text>
    </comment>
    <comment ref="J26" authorId="0">
      <text>
        <r>
          <rPr>
            <sz val="10"/>
            <rFont val="Arial"/>
            <family val="2"/>
          </rPr>
          <t xml:space="preserve">50,000 sin descuento (dato del usuario).</t>
        </r>
      </text>
    </comment>
    <comment ref="J27" authorId="0">
      <text>
        <r>
          <rPr>
            <sz val="10"/>
            <rFont val="Arial"/>
            <family val="2"/>
          </rPr>
          <t xml:space="preserve">Debe dar 0: el banco cobra 100,000 = 98,000 entregados + 2,000 de gastos.</t>
        </r>
      </text>
    </comment>
    <comment ref="J28" authorId="0">
      <text>
        <r>
          <rPr>
            <sz val="10"/>
            <rFont val="Arial"/>
            <family val="2"/>
          </rPr>
          <t xml:space="preserve">Acuerdo: los gastos son del crédito de los dos, así que se reparten 50/50. Cambiar aquí si acuerdan otra cosa (100% = Gaby absorbe todo el gasto).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Interés = saldo inicial × tasa anual × días del mes / días del año (366 en 2028).</t>
        </r>
      </text>
    </comment>
    <comment ref="E4" authorId="0">
      <text>
        <r>
          <rPr>
            <sz val="10"/>
            <rFont val="Arial"/>
            <family val="2"/>
          </rPr>
          <t xml:space="preserve">Lo que le toca pagar si no hay pago registrado: la parte del capital de la cuota del banco que corresponde a su saldo, más su interés del mes. Si abona de más, su cuota baja; si paga de menos, sube. Si liquida su saldo, su cuota queda en 0 y el otro sigue con sus cuotas normales.</t>
        </r>
      </text>
    </comment>
    <comment ref="F4" authorId="0">
      <text>
        <r>
          <rPr>
            <sz val="10"/>
            <rFont val="Arial"/>
            <family val="2"/>
          </rPr>
          <t xml:space="preserve">Escriba lo que pagó de verdad en cada cuota. Meses 1 a 8: abonos de Gaby (dato del usuario). Puede ser más que la cuota (abono a capital) o todo su saldo para liquidar.</t>
        </r>
      </text>
    </comment>
    <comment ref="H4" authorId="0">
      <text>
        <r>
          <rPr>
            <sz val="10"/>
            <rFont val="Arial"/>
            <family val="2"/>
          </rPr>
          <t xml:space="preserve">Pago aplicado − interés. Si es negativo, lo pagado no alcanzó para el interés y la diferencia se suma a su saldo.</t>
        </r>
      </text>
    </comment>
    <comment ref="L14" authorId="0">
      <text>
        <r>
          <rPr>
            <sz val="10"/>
            <rFont val="Arial"/>
            <family val="2"/>
          </rPr>
          <t xml:space="preserve">Saldo después del último pago registrado (supone que los pagos se registran en orden).</t>
        </r>
      </text>
    </comment>
    <comment ref="L19" authorId="0">
      <text>
        <r>
          <rPr>
            <sz val="10"/>
            <rFont val="Arial"/>
            <family val="2"/>
          </rPr>
          <t xml:space="preserve">Saldo de capital + interés del mes. Si paga esto en esa fecha, su parte del crédito queda en 0 y el resto de cuotas del banco le quedan al otro.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Interés del banco sobre el saldo total (Gerson + Gaby) menos el interés de Gaby. Así la suma de los dos es exactamente el interés que cobra el banco.</t>
        </r>
      </text>
    </comment>
    <comment ref="E4" authorId="0">
      <text>
        <r>
          <rPr>
            <sz val="10"/>
            <rFont val="Arial"/>
            <family val="2"/>
          </rPr>
          <t xml:space="preserve">Lo que le toca pagar si no hay pago registrado: la parte del capital de la cuota del banco que corresponde a su saldo, más su interés del mes. Si abona de más, su cuota baja; si paga de menos, sube. Si liquida su saldo, su cuota queda en 0 y el otro sigue con sus cuotas normales.</t>
        </r>
      </text>
    </comment>
    <comment ref="F4" authorId="0">
      <text>
        <r>
          <rPr>
            <sz val="10"/>
            <rFont val="Arial"/>
            <family val="2"/>
          </rPr>
          <t xml:space="preserve">Meses 1 a 8: lo que faltó para completar la cuota del banco = cuota del banco − lo que pagó Gaby. Si pagó otro monto, escriba el real encima. De ahí en adelante, escriba lo que pague.</t>
        </r>
      </text>
    </comment>
    <comment ref="H4" authorId="0">
      <text>
        <r>
          <rPr>
            <sz val="10"/>
            <rFont val="Arial"/>
            <family val="2"/>
          </rPr>
          <t xml:space="preserve">Pago aplicado − interés. Si es negativo, lo pagado no alcanzó para el interés y la diferencia se suma a su saldo.</t>
        </r>
      </text>
    </comment>
    <comment ref="L14" authorId="0">
      <text>
        <r>
          <rPr>
            <sz val="10"/>
            <rFont val="Arial"/>
            <family val="2"/>
          </rPr>
          <t xml:space="preserve">Saldo después del último pago registrado (supone que los pagos se registran en orden).</t>
        </r>
      </text>
    </comment>
    <comment ref="L19" authorId="0">
      <text>
        <r>
          <rPr>
            <sz val="10"/>
            <rFont val="Arial"/>
            <family val="2"/>
          </rPr>
          <t xml:space="preserve">Saldo de capital + interés del mes. Si paga esto en esa fecha, su parte del crédito queda en 0 y el resto de cuotas del banco le quedan al otro.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0" authorId="0">
      <text>
        <r>
          <rPr>
            <sz val="10"/>
            <rFont val="Arial"/>
            <family val="2"/>
          </rPr>
          <t xml:space="preserve">Cuánto capital se ha pagado por encima del plan del banco. 0 = van al día con el plan.</t>
        </r>
      </text>
    </comment>
    <comment ref="N11" authorId="0">
      <text>
        <r>
          <rPr>
            <sz val="10"/>
            <rFont val="Arial"/>
            <family val="2"/>
          </rPr>
          <t xml:space="preserve">En los meses pagados: lo que pagaron entre los dos menos la cuota del banco. Si no hubo abonos extra, debe dar 0.</t>
        </r>
      </text>
    </comment>
  </commentList>
</comments>
</file>

<file path=xl/sharedStrings.xml><?xml version="1.0" encoding="utf-8"?>
<sst xmlns="http://schemas.openxmlformats.org/spreadsheetml/2006/main" count="193" uniqueCount="84">
  <si>
    <t xml:space="preserve">Plan de pagos del banco (crédito completo)</t>
  </si>
  <si>
    <t xml:space="preserve">Plan original del banco según la foto. Azul = dato de entrada · Negro = fórmula · Fondo amarillo = cuotas que no aparecen en la foto</t>
  </si>
  <si>
    <t xml:space="preserve">No.</t>
  </si>
  <si>
    <t xml:space="preserve">Fecha</t>
  </si>
  <si>
    <t xml:space="preserve">Cuota total</t>
  </si>
  <si>
    <t xml:space="preserve">Capital</t>
  </si>
  <si>
    <t xml:space="preserve">Interés</t>
  </si>
  <si>
    <t xml:space="preserve">Saldo</t>
  </si>
  <si>
    <t xml:space="preserve">Origen</t>
  </si>
  <si>
    <t xml:space="preserve">Datos del crédito</t>
  </si>
  <si>
    <t xml:space="preserve">Desembolso</t>
  </si>
  <si>
    <t xml:space="preserve">Monto del crédito</t>
  </si>
  <si>
    <t xml:space="preserve">Documento</t>
  </si>
  <si>
    <t xml:space="preserve">Tasa de interés anual</t>
  </si>
  <si>
    <t xml:space="preserve">Plazo (meses)</t>
  </si>
  <si>
    <t xml:space="preserve">Capital mensual</t>
  </si>
  <si>
    <t xml:space="preserve">Fecha de desembolso</t>
  </si>
  <si>
    <t xml:space="preserve">Base de cálculo</t>
  </si>
  <si>
    <t xml:space="preserve">Días reales / 365 (366 bisiesto)</t>
  </si>
  <si>
    <t xml:space="preserve">Resumen</t>
  </si>
  <si>
    <t xml:space="preserve">Tasa mensual equivalente</t>
  </si>
  <si>
    <t xml:space="preserve">Tasa efectiva anual (aprox.)</t>
  </si>
  <si>
    <t xml:space="preserve">Total de intereses</t>
  </si>
  <si>
    <t xml:space="preserve">Total pagado (capital + intereses)</t>
  </si>
  <si>
    <t xml:space="preserve">Intereses / monto del crédito</t>
  </si>
  <si>
    <t xml:space="preserve">Fecha del último pago</t>
  </si>
  <si>
    <t xml:space="preserve">Saldo final</t>
  </si>
  <si>
    <t xml:space="preserve">Diferencia de intereses vs. foto</t>
  </si>
  <si>
    <t xml:space="preserve">Diferencia de saldos vs. foto</t>
  </si>
  <si>
    <t xml:space="preserve">División entre Gaby y Gerson</t>
  </si>
  <si>
    <t xml:space="preserve">Gastos administrativos descontados</t>
  </si>
  <si>
    <t xml:space="preserve">Monto recibido por Gaby</t>
  </si>
  <si>
    <t xml:space="preserve">Monto recibido por Gerson</t>
  </si>
  <si>
    <t xml:space="preserve">Verificación: monto − recibido − gastos</t>
  </si>
  <si>
    <t xml:space="preserve">% de los gastos que asume Gaby</t>
  </si>
  <si>
    <t xml:space="preserve">Deuda inicial de Gaby</t>
  </si>
  <si>
    <t xml:space="preserve">Deuda inicial de Gerson</t>
  </si>
  <si>
    <t xml:space="preserve">Participación inicial de Gaby</t>
  </si>
  <si>
    <t xml:space="preserve">Participación inicial de Gerson</t>
  </si>
  <si>
    <t xml:space="preserve">Proyectado</t>
  </si>
  <si>
    <t xml:space="preserve">Total</t>
  </si>
  <si>
    <t xml:space="preserve">Crédito individual – Gaby</t>
  </si>
  <si>
    <t xml:space="preserve">Columna amarilla «Pagado» = lo que pagó de verdad (en blanco si aún no paga; entonces se usa la cuota programada) · Negro = fórmula · Verde = tomado de otra hoja</t>
  </si>
  <si>
    <t xml:space="preserve">Saldo inicial</t>
  </si>
  <si>
    <t xml:space="preserve">Cuota programada</t>
  </si>
  <si>
    <t xml:space="preserve">Pagado</t>
  </si>
  <si>
    <t xml:space="preserve">Pago aplicado</t>
  </si>
  <si>
    <t xml:space="preserve">Capital abonado</t>
  </si>
  <si>
    <t xml:space="preserve">Resumen – Gaby</t>
  </si>
  <si>
    <t xml:space="preserve">Monto recibido</t>
  </si>
  <si>
    <t xml:space="preserve">Gastos administrativos que le tocan</t>
  </si>
  <si>
    <t xml:space="preserve">Deuda inicial (capital)</t>
  </si>
  <si>
    <t xml:space="preserve">A la fecha</t>
  </si>
  <si>
    <t xml:space="preserve">Cuotas con pago registrado</t>
  </si>
  <si>
    <t xml:space="preserve">Total pagado</t>
  </si>
  <si>
    <t xml:space="preserve">Intereses pagados</t>
  </si>
  <si>
    <t xml:space="preserve">Saldo de capital hoy</t>
  </si>
  <si>
    <t xml:space="preserve">Próxima cuota</t>
  </si>
  <si>
    <t xml:space="preserve">Pago para liquidar todo su saldo</t>
  </si>
  <si>
    <t xml:space="preserve">Proyección hasta el final</t>
  </si>
  <si>
    <t xml:space="preserve">Total a pagar (pagado + programado)</t>
  </si>
  <si>
    <t xml:space="preserve">Último pago</t>
  </si>
  <si>
    <t xml:space="preserve">Crédito individual – Gerson</t>
  </si>
  <si>
    <t xml:space="preserve">Resumen – Gerson</t>
  </si>
  <si>
    <t xml:space="preserve">Crédito total – Gaby + Gerson</t>
  </si>
  <si>
    <t xml:space="preserve">Suma de las dos hojas individuales: lo que pagan entre los dos cada mes es lo que se paga al banco · Verde = tomado de otra hoja · Negro = fórmula</t>
  </si>
  <si>
    <t xml:space="preserve">Pago Gaby</t>
  </si>
  <si>
    <t xml:space="preserve">Pago Gerson</t>
  </si>
  <si>
    <t xml:space="preserve">Total pagado al banco</t>
  </si>
  <si>
    <t xml:space="preserve">Saldo total</t>
  </si>
  <si>
    <t xml:space="preserve">Cuota según plan banco</t>
  </si>
  <si>
    <t xml:space="preserve">Saldo según plan banco</t>
  </si>
  <si>
    <t xml:space="preserve">Estado</t>
  </si>
  <si>
    <t xml:space="preserve">Resumen del crédito</t>
  </si>
  <si>
    <t xml:space="preserve">Cuotas pagadas por los dos</t>
  </si>
  <si>
    <t xml:space="preserve">Saldo de Gaby hoy</t>
  </si>
  <si>
    <t xml:space="preserve">Saldo de Gerson hoy</t>
  </si>
  <si>
    <t xml:space="preserve">Saldo total hoy</t>
  </si>
  <si>
    <t xml:space="preserve">Saldo según plan del banco</t>
  </si>
  <si>
    <t xml:space="preserve">Adelantado al banco (abonos extra)</t>
  </si>
  <si>
    <t xml:space="preserve">Verificación: pagado − cuota del banco</t>
  </si>
  <si>
    <t xml:space="preserve">Total según plan del banco</t>
  </si>
  <si>
    <t xml:space="preserve">Valores tal como aparecen en la foto</t>
  </si>
  <si>
    <t xml:space="preserve">Transcripción sin fórmulas. Sirve para comparar contra la hoja Amortización.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</si>
</sst>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.00;\(#,##0.00\);\-"/>
    <numFmt numFmtId="167" formatCode="0.00%"/>
    <numFmt numFmtId="168" formatCode="General"/>
    <numFmt numFmtId="169" formatCode="0"/>
    <numFmt numFmtId="170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3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4" t="s">
        <v>9</v>
      </c>
      <c r="J4" s="5"/>
    </row>
    <row r="5" customFormat="false" ht="15" hidden="false" customHeight="false" outlineLevel="0" collapsed="false">
      <c r="A5" s="6" t="n">
        <v>0</v>
      </c>
      <c r="B5" s="7" t="n">
        <f aca="false">J9</f>
        <v>46053</v>
      </c>
      <c r="C5" s="8"/>
      <c r="D5" s="8"/>
      <c r="E5" s="8"/>
      <c r="F5" s="9" t="n">
        <f aca="false">J5</f>
        <v>100000</v>
      </c>
      <c r="G5" s="6" t="s">
        <v>10</v>
      </c>
      <c r="I5" s="10" t="s">
        <v>11</v>
      </c>
      <c r="J5" s="11" t="n">
        <v>100000</v>
      </c>
    </row>
    <row r="6" customFormat="false" ht="15" hidden="false" customHeight="false" outlineLevel="0" collapsed="false">
      <c r="A6" s="6" t="n">
        <f aca="false">A5+1</f>
        <v>1</v>
      </c>
      <c r="B6" s="7" t="n">
        <f aca="false">EOMONTH(B5,1)</f>
        <v>46081</v>
      </c>
      <c r="C6" s="9" t="n">
        <f aca="false">D6+E6</f>
        <v>2740.64</v>
      </c>
      <c r="D6" s="9" t="n">
        <f aca="false">MIN($J$8,F5)</f>
        <v>1666.67</v>
      </c>
      <c r="E6" s="9" t="n">
        <f aca="false">ROUND(F5*$J$6*(MAX(0,DATE(YEAR(B6),1,1)-B5)/(DATE(YEAR(B5)+1,1,1)-DATE(YEAR(B5),1,1))+(B6-MAX(B5,DATE(YEAR(B6),1,1)))/(DATE(YEAR(B6)+1,1,1)-DATE(YEAR(B6),1,1))),2)</f>
        <v>1073.97</v>
      </c>
      <c r="F6" s="9" t="n">
        <f aca="false">ROUND(F5-D6,2)</f>
        <v>98333.33</v>
      </c>
      <c r="G6" s="6" t="s">
        <v>12</v>
      </c>
      <c r="I6" s="10" t="s">
        <v>13</v>
      </c>
      <c r="J6" s="12" t="n">
        <v>0.14</v>
      </c>
    </row>
    <row r="7" customFormat="false" ht="15" hidden="false" customHeight="false" outlineLevel="0" collapsed="false">
      <c r="A7" s="13" t="n">
        <f aca="false">A6+1</f>
        <v>2</v>
      </c>
      <c r="B7" s="14" t="n">
        <f aca="false">EOMONTH(B6,1)</f>
        <v>46112</v>
      </c>
      <c r="C7" s="15" t="n">
        <f aca="false">D7+E7</f>
        <v>2835.89</v>
      </c>
      <c r="D7" s="15" t="n">
        <f aca="false">MIN($J$8,F6)</f>
        <v>1666.67</v>
      </c>
      <c r="E7" s="15" t="n">
        <f aca="false">ROUND(F6*$J$6*(MAX(0,DATE(YEAR(B7),1,1)-B6)/(DATE(YEAR(B6)+1,1,1)-DATE(YEAR(B6),1,1))+(B7-MAX(B6,DATE(YEAR(B7),1,1)))/(DATE(YEAR(B7)+1,1,1)-DATE(YEAR(B7),1,1))),2)</f>
        <v>1169.22</v>
      </c>
      <c r="F7" s="15" t="n">
        <f aca="false">ROUND(F6-D7,2)</f>
        <v>96666.66</v>
      </c>
      <c r="G7" s="13" t="s">
        <v>12</v>
      </c>
      <c r="I7" s="10" t="s">
        <v>14</v>
      </c>
      <c r="J7" s="16" t="n">
        <v>60</v>
      </c>
    </row>
    <row r="8" customFormat="false" ht="15" hidden="false" customHeight="false" outlineLevel="0" collapsed="false">
      <c r="A8" s="6" t="n">
        <f aca="false">A7+1</f>
        <v>3</v>
      </c>
      <c r="B8" s="7" t="n">
        <f aca="false">EOMONTH(B7,1)</f>
        <v>46142</v>
      </c>
      <c r="C8" s="9" t="n">
        <f aca="false">D8+E8</f>
        <v>2779</v>
      </c>
      <c r="D8" s="9" t="n">
        <f aca="false">MIN($J$8,F7)</f>
        <v>1666.67</v>
      </c>
      <c r="E8" s="9" t="n">
        <f aca="false">ROUND(F7*$J$6*(MAX(0,DATE(YEAR(B8),1,1)-B7)/(DATE(YEAR(B7)+1,1,1)-DATE(YEAR(B7),1,1))+(B8-MAX(B7,DATE(YEAR(B8),1,1)))/(DATE(YEAR(B8)+1,1,1)-DATE(YEAR(B8),1,1))),2)</f>
        <v>1112.33</v>
      </c>
      <c r="F8" s="9" t="n">
        <f aca="false">ROUND(F7-D8,2)</f>
        <v>94999.99</v>
      </c>
      <c r="G8" s="6" t="s">
        <v>12</v>
      </c>
      <c r="I8" s="10" t="s">
        <v>15</v>
      </c>
      <c r="J8" s="17" t="n">
        <f aca="false">ROUND(J5/J7,2)</f>
        <v>1666.67</v>
      </c>
    </row>
    <row r="9" customFormat="false" ht="15" hidden="false" customHeight="false" outlineLevel="0" collapsed="false">
      <c r="A9" s="13" t="n">
        <f aca="false">A8+1</f>
        <v>4</v>
      </c>
      <c r="B9" s="14" t="n">
        <f aca="false">EOMONTH(B8,1)</f>
        <v>46173</v>
      </c>
      <c r="C9" s="15" t="n">
        <f aca="false">D9+E9</f>
        <v>2796.26</v>
      </c>
      <c r="D9" s="15" t="n">
        <f aca="false">MIN($J$8,F8)</f>
        <v>1666.67</v>
      </c>
      <c r="E9" s="15" t="n">
        <f aca="false">ROUND(F8*$J$6*(MAX(0,DATE(YEAR(B9),1,1)-B8)/(DATE(YEAR(B8)+1,1,1)-DATE(YEAR(B8),1,1))+(B9-MAX(B8,DATE(YEAR(B9),1,1)))/(DATE(YEAR(B9)+1,1,1)-DATE(YEAR(B9),1,1))),2)</f>
        <v>1129.59</v>
      </c>
      <c r="F9" s="15" t="n">
        <f aca="false">ROUND(F8-D9,2)</f>
        <v>93333.32</v>
      </c>
      <c r="G9" s="13" t="s">
        <v>12</v>
      </c>
      <c r="I9" s="10" t="s">
        <v>16</v>
      </c>
      <c r="J9" s="18" t="n">
        <v>46053</v>
      </c>
    </row>
    <row r="10" customFormat="false" ht="15" hidden="false" customHeight="false" outlineLevel="0" collapsed="false">
      <c r="A10" s="6" t="n">
        <f aca="false">A9+1</f>
        <v>5</v>
      </c>
      <c r="B10" s="7" t="n">
        <f aca="false">EOMONTH(B9,1)</f>
        <v>46203</v>
      </c>
      <c r="C10" s="9" t="n">
        <f aca="false">D10+E10</f>
        <v>2740.64</v>
      </c>
      <c r="D10" s="9" t="n">
        <f aca="false">MIN($J$8,F9)</f>
        <v>1666.67</v>
      </c>
      <c r="E10" s="9" t="n">
        <f aca="false">ROUND(F9*$J$6*(MAX(0,DATE(YEAR(B10),1,1)-B9)/(DATE(YEAR(B9)+1,1,1)-DATE(YEAR(B9),1,1))+(B10-MAX(B9,DATE(YEAR(B10),1,1)))/(DATE(YEAR(B10)+1,1,1)-DATE(YEAR(B10),1,1))),2)</f>
        <v>1073.97</v>
      </c>
      <c r="F10" s="9" t="n">
        <f aca="false">ROUND(F9-D10,2)</f>
        <v>91666.65</v>
      </c>
      <c r="G10" s="6" t="s">
        <v>12</v>
      </c>
      <c r="I10" s="10" t="s">
        <v>17</v>
      </c>
      <c r="J10" s="19" t="s">
        <v>18</v>
      </c>
    </row>
    <row r="11" customFormat="false" ht="15" hidden="false" customHeight="false" outlineLevel="0" collapsed="false">
      <c r="A11" s="13" t="n">
        <f aca="false">A10+1</f>
        <v>6</v>
      </c>
      <c r="B11" s="14" t="n">
        <f aca="false">EOMONTH(B10,1)</f>
        <v>46234</v>
      </c>
      <c r="C11" s="15" t="n">
        <f aca="false">D11+E11</f>
        <v>2756.62</v>
      </c>
      <c r="D11" s="15" t="n">
        <f aca="false">MIN($J$8,F10)</f>
        <v>1666.67</v>
      </c>
      <c r="E11" s="15" t="n">
        <f aca="false">ROUND(F10*$J$6*(MAX(0,DATE(YEAR(B11),1,1)-B10)/(DATE(YEAR(B10)+1,1,1)-DATE(YEAR(B10),1,1))+(B11-MAX(B10,DATE(YEAR(B11),1,1)))/(DATE(YEAR(B11)+1,1,1)-DATE(YEAR(B11),1,1))),2)</f>
        <v>1089.95</v>
      </c>
      <c r="F11" s="15" t="n">
        <f aca="false">ROUND(F10-D11,2)</f>
        <v>89999.98</v>
      </c>
      <c r="G11" s="13" t="s">
        <v>12</v>
      </c>
    </row>
    <row r="12" customFormat="false" ht="15" hidden="false" customHeight="false" outlineLevel="0" collapsed="false">
      <c r="A12" s="6" t="n">
        <f aca="false">A11+1</f>
        <v>7</v>
      </c>
      <c r="B12" s="7" t="n">
        <f aca="false">EOMONTH(B11,1)</f>
        <v>46265</v>
      </c>
      <c r="C12" s="9" t="n">
        <f aca="false">D12+E12</f>
        <v>2736.81</v>
      </c>
      <c r="D12" s="9" t="n">
        <f aca="false">MIN($J$8,F11)</f>
        <v>1666.67</v>
      </c>
      <c r="E12" s="9" t="n">
        <f aca="false">ROUND(F11*$J$6*(MAX(0,DATE(YEAR(B12),1,1)-B11)/(DATE(YEAR(B11)+1,1,1)-DATE(YEAR(B11),1,1))+(B12-MAX(B11,DATE(YEAR(B12),1,1)))/(DATE(YEAR(B12)+1,1,1)-DATE(YEAR(B12),1,1))),2)</f>
        <v>1070.14</v>
      </c>
      <c r="F12" s="9" t="n">
        <f aca="false">ROUND(F11-D12,2)</f>
        <v>88333.31</v>
      </c>
      <c r="G12" s="6" t="s">
        <v>12</v>
      </c>
      <c r="I12" s="4" t="s">
        <v>19</v>
      </c>
      <c r="J12" s="5"/>
    </row>
    <row r="13" customFormat="false" ht="15" hidden="false" customHeight="false" outlineLevel="0" collapsed="false">
      <c r="A13" s="13" t="n">
        <f aca="false">A12+1</f>
        <v>8</v>
      </c>
      <c r="B13" s="14" t="n">
        <f aca="false">EOMONTH(B12,1)</f>
        <v>46295</v>
      </c>
      <c r="C13" s="15" t="n">
        <f aca="false">D13+E13</f>
        <v>2683.11</v>
      </c>
      <c r="D13" s="15" t="n">
        <f aca="false">MIN($J$8,F12)</f>
        <v>1666.67</v>
      </c>
      <c r="E13" s="15" t="n">
        <f aca="false">ROUND(F12*$J$6*(MAX(0,DATE(YEAR(B13),1,1)-B12)/(DATE(YEAR(B12)+1,1,1)-DATE(YEAR(B12),1,1))+(B13-MAX(B12,DATE(YEAR(B13),1,1)))/(DATE(YEAR(B13)+1,1,1)-DATE(YEAR(B13),1,1))),2)</f>
        <v>1016.44</v>
      </c>
      <c r="F13" s="15" t="n">
        <f aca="false">ROUND(F12-D13,2)</f>
        <v>86666.64</v>
      </c>
      <c r="G13" s="13" t="s">
        <v>12</v>
      </c>
      <c r="I13" s="10" t="s">
        <v>20</v>
      </c>
      <c r="J13" s="20" t="n">
        <f aca="false">J6/12</f>
        <v>0.0116666666666667</v>
      </c>
    </row>
    <row r="14" customFormat="false" ht="15" hidden="false" customHeight="false" outlineLevel="0" collapsed="false">
      <c r="A14" s="6" t="n">
        <f aca="false">A13+1</f>
        <v>9</v>
      </c>
      <c r="B14" s="7" t="n">
        <f aca="false">EOMONTH(B13,1)</f>
        <v>46326</v>
      </c>
      <c r="C14" s="9" t="n">
        <f aca="false">D14+E14</f>
        <v>2697.17</v>
      </c>
      <c r="D14" s="9" t="n">
        <f aca="false">MIN($J$8,F13)</f>
        <v>1666.67</v>
      </c>
      <c r="E14" s="9" t="n">
        <f aca="false">ROUND(F13*$J$6*(MAX(0,DATE(YEAR(B14),1,1)-B13)/(DATE(YEAR(B13)+1,1,1)-DATE(YEAR(B13),1,1))+(B14-MAX(B13,DATE(YEAR(B14),1,1)))/(DATE(YEAR(B14)+1,1,1)-DATE(YEAR(B14),1,1))),2)</f>
        <v>1030.5</v>
      </c>
      <c r="F14" s="9" t="n">
        <f aca="false">ROUND(F13-D14,2)</f>
        <v>84999.97</v>
      </c>
      <c r="G14" s="6" t="s">
        <v>12</v>
      </c>
      <c r="I14" s="10" t="s">
        <v>21</v>
      </c>
      <c r="J14" s="21" t="n">
        <f aca="false">(1+J6/12)^12-1</f>
        <v>0.149342029207158</v>
      </c>
    </row>
    <row r="15" customFormat="false" ht="15" hidden="false" customHeight="false" outlineLevel="0" collapsed="false">
      <c r="A15" s="13" t="n">
        <f aca="false">A14+1</f>
        <v>10</v>
      </c>
      <c r="B15" s="14" t="n">
        <f aca="false">EOMONTH(B14,1)</f>
        <v>46356</v>
      </c>
      <c r="C15" s="15" t="n">
        <f aca="false">D15+E15</f>
        <v>2644.75</v>
      </c>
      <c r="D15" s="15" t="n">
        <f aca="false">MIN($J$8,F14)</f>
        <v>1666.67</v>
      </c>
      <c r="E15" s="15" t="n">
        <f aca="false">ROUND(F14*$J$6*(MAX(0,DATE(YEAR(B15),1,1)-B14)/(DATE(YEAR(B14)+1,1,1)-DATE(YEAR(B14),1,1))+(B15-MAX(B14,DATE(YEAR(B15),1,1)))/(DATE(YEAR(B15)+1,1,1)-DATE(YEAR(B15),1,1))),2)</f>
        <v>978.08</v>
      </c>
      <c r="F15" s="15" t="n">
        <f aca="false">ROUND(F14-D15,2)</f>
        <v>83333.3</v>
      </c>
      <c r="G15" s="13" t="s">
        <v>12</v>
      </c>
      <c r="I15" s="10" t="s">
        <v>22</v>
      </c>
      <c r="J15" s="17" t="n">
        <f aca="false">E66</f>
        <v>35533.42</v>
      </c>
    </row>
    <row r="16" customFormat="false" ht="15" hidden="false" customHeight="false" outlineLevel="0" collapsed="false">
      <c r="A16" s="6" t="n">
        <f aca="false">A15+1</f>
        <v>11</v>
      </c>
      <c r="B16" s="7" t="n">
        <f aca="false">EOMONTH(B15,1)</f>
        <v>46387</v>
      </c>
      <c r="C16" s="9" t="n">
        <f aca="false">D16+E16</f>
        <v>2657.54</v>
      </c>
      <c r="D16" s="9" t="n">
        <f aca="false">MIN($J$8,F15)</f>
        <v>1666.67</v>
      </c>
      <c r="E16" s="9" t="n">
        <f aca="false">ROUND(F15*$J$6*(MAX(0,DATE(YEAR(B16),1,1)-B15)/(DATE(YEAR(B15)+1,1,1)-DATE(YEAR(B15),1,1))+(B16-MAX(B15,DATE(YEAR(B16),1,1)))/(DATE(YEAR(B16)+1,1,1)-DATE(YEAR(B16),1,1))),2)</f>
        <v>990.87</v>
      </c>
      <c r="F16" s="9" t="n">
        <f aca="false">ROUND(F15-D16,2)</f>
        <v>81666.63</v>
      </c>
      <c r="G16" s="6" t="s">
        <v>12</v>
      </c>
      <c r="I16" s="10" t="s">
        <v>23</v>
      </c>
      <c r="J16" s="17" t="n">
        <f aca="false">C66</f>
        <v>135533.42</v>
      </c>
    </row>
    <row r="17" customFormat="false" ht="15" hidden="false" customHeight="false" outlineLevel="0" collapsed="false">
      <c r="A17" s="13" t="n">
        <f aca="false">A16+1</f>
        <v>12</v>
      </c>
      <c r="B17" s="14" t="n">
        <f aca="false">EOMONTH(B16,1)</f>
        <v>46418</v>
      </c>
      <c r="C17" s="15" t="n">
        <f aca="false">D17+E17</f>
        <v>2637.72</v>
      </c>
      <c r="D17" s="15" t="n">
        <f aca="false">MIN($J$8,F16)</f>
        <v>1666.67</v>
      </c>
      <c r="E17" s="15" t="n">
        <f aca="false">ROUND(F16*$J$6*(MAX(0,DATE(YEAR(B17),1,1)-B16)/(DATE(YEAR(B16)+1,1,1)-DATE(YEAR(B16),1,1))+(B17-MAX(B16,DATE(YEAR(B17),1,1)))/(DATE(YEAR(B17)+1,1,1)-DATE(YEAR(B17),1,1))),2)</f>
        <v>971.05</v>
      </c>
      <c r="F17" s="15" t="n">
        <f aca="false">ROUND(F16-D17,2)</f>
        <v>79999.96</v>
      </c>
      <c r="G17" s="13" t="s">
        <v>12</v>
      </c>
      <c r="I17" s="10" t="s">
        <v>24</v>
      </c>
      <c r="J17" s="21" t="n">
        <f aca="false">J15/J5</f>
        <v>0.3553342</v>
      </c>
    </row>
    <row r="18" customFormat="false" ht="15" hidden="false" customHeight="false" outlineLevel="0" collapsed="false">
      <c r="A18" s="6" t="n">
        <f aca="false">A17+1</f>
        <v>13</v>
      </c>
      <c r="B18" s="7" t="n">
        <f aca="false">EOMONTH(B17,1)</f>
        <v>46446</v>
      </c>
      <c r="C18" s="9" t="n">
        <f aca="false">D18+E18</f>
        <v>2525.85</v>
      </c>
      <c r="D18" s="9" t="n">
        <f aca="false">MIN($J$8,F17)</f>
        <v>1666.67</v>
      </c>
      <c r="E18" s="9" t="n">
        <f aca="false">ROUND(F17*$J$6*(MAX(0,DATE(YEAR(B18),1,1)-B17)/(DATE(YEAR(B17)+1,1,1)-DATE(YEAR(B17),1,1))+(B18-MAX(B17,DATE(YEAR(B18),1,1)))/(DATE(YEAR(B18)+1,1,1)-DATE(YEAR(B18),1,1))),2)</f>
        <v>859.18</v>
      </c>
      <c r="F18" s="9" t="n">
        <f aca="false">ROUND(F17-D18,2)</f>
        <v>78333.29</v>
      </c>
      <c r="G18" s="6" t="s">
        <v>12</v>
      </c>
      <c r="I18" s="10" t="s">
        <v>25</v>
      </c>
      <c r="J18" s="22" t="n">
        <f aca="false">B65</f>
        <v>47879</v>
      </c>
    </row>
    <row r="19" customFormat="false" ht="15" hidden="false" customHeight="false" outlineLevel="0" collapsed="false">
      <c r="A19" s="13" t="n">
        <f aca="false">A18+1</f>
        <v>14</v>
      </c>
      <c r="B19" s="14" t="n">
        <f aca="false">EOMONTH(B18,1)</f>
        <v>46477</v>
      </c>
      <c r="C19" s="15" t="n">
        <f aca="false">D19+E19</f>
        <v>2598.09</v>
      </c>
      <c r="D19" s="15" t="n">
        <f aca="false">MIN($J$8,F18)</f>
        <v>1666.67</v>
      </c>
      <c r="E19" s="15" t="n">
        <f aca="false">ROUND(F18*$J$6*(MAX(0,DATE(YEAR(B19),1,1)-B18)/(DATE(YEAR(B18)+1,1,1)-DATE(YEAR(B18),1,1))+(B19-MAX(B18,DATE(YEAR(B19),1,1)))/(DATE(YEAR(B19)+1,1,1)-DATE(YEAR(B19),1,1))),2)</f>
        <v>931.42</v>
      </c>
      <c r="F19" s="15" t="n">
        <f aca="false">ROUND(F18-D19,2)</f>
        <v>76666.62</v>
      </c>
      <c r="G19" s="13" t="s">
        <v>12</v>
      </c>
      <c r="I19" s="10" t="s">
        <v>26</v>
      </c>
      <c r="J19" s="17" t="n">
        <f aca="false">F65</f>
        <v>0</v>
      </c>
    </row>
    <row r="20" customFormat="false" ht="15" hidden="false" customHeight="false" outlineLevel="0" collapsed="false">
      <c r="A20" s="6" t="n">
        <f aca="false">A19+1</f>
        <v>15</v>
      </c>
      <c r="B20" s="7" t="n">
        <f aca="false">EOMONTH(B19,1)</f>
        <v>46507</v>
      </c>
      <c r="C20" s="9" t="n">
        <f aca="false">D20+E20</f>
        <v>2548.86</v>
      </c>
      <c r="D20" s="9" t="n">
        <f aca="false">MIN($J$8,F19)</f>
        <v>1666.67</v>
      </c>
      <c r="E20" s="9" t="n">
        <f aca="false">ROUND(F19*$J$6*(MAX(0,DATE(YEAR(B20),1,1)-B19)/(DATE(YEAR(B19)+1,1,1)-DATE(YEAR(B19),1,1))+(B20-MAX(B19,DATE(YEAR(B20),1,1)))/(DATE(YEAR(B20)+1,1,1)-DATE(YEAR(B20),1,1))),2)</f>
        <v>882.19</v>
      </c>
      <c r="F20" s="9" t="n">
        <f aca="false">ROUND(F19-D20,2)</f>
        <v>74999.95</v>
      </c>
      <c r="G20" s="6" t="s">
        <v>12</v>
      </c>
      <c r="I20" s="10" t="s">
        <v>27</v>
      </c>
      <c r="J20" s="17" t="n">
        <f aca="false">SUMPRODUCT(ABS(E6:E52-'Foto original'!E5:E51))</f>
        <v>0</v>
      </c>
    </row>
    <row r="21" customFormat="false" ht="15" hidden="false" customHeight="false" outlineLevel="0" collapsed="false">
      <c r="A21" s="13" t="n">
        <f aca="false">A20+1</f>
        <v>16</v>
      </c>
      <c r="B21" s="14" t="n">
        <f aca="false">EOMONTH(B20,1)</f>
        <v>46538</v>
      </c>
      <c r="C21" s="15" t="n">
        <f aca="false">D21+E21</f>
        <v>2558.45</v>
      </c>
      <c r="D21" s="15" t="n">
        <f aca="false">MIN($J$8,F20)</f>
        <v>1666.67</v>
      </c>
      <c r="E21" s="15" t="n">
        <f aca="false">ROUND(F20*$J$6*(MAX(0,DATE(YEAR(B21),1,1)-B20)/(DATE(YEAR(B20)+1,1,1)-DATE(YEAR(B20),1,1))+(B21-MAX(B20,DATE(YEAR(B21),1,1)))/(DATE(YEAR(B21)+1,1,1)-DATE(YEAR(B21),1,1))),2)</f>
        <v>891.78</v>
      </c>
      <c r="F21" s="15" t="n">
        <f aca="false">ROUND(F20-D21,2)</f>
        <v>73333.28</v>
      </c>
      <c r="G21" s="13" t="s">
        <v>12</v>
      </c>
      <c r="I21" s="10" t="s">
        <v>28</v>
      </c>
      <c r="J21" s="17" t="n">
        <f aca="false">SUMPRODUCT(ABS(F6:F52-'Foto original'!F5:F51))</f>
        <v>0</v>
      </c>
    </row>
    <row r="22" customFormat="false" ht="15" hidden="false" customHeight="false" outlineLevel="0" collapsed="false">
      <c r="A22" s="6" t="n">
        <f aca="false">A21+1</f>
        <v>17</v>
      </c>
      <c r="B22" s="7" t="n">
        <f aca="false">EOMONTH(B21,1)</f>
        <v>46568</v>
      </c>
      <c r="C22" s="9" t="n">
        <f aca="false">D22+E22</f>
        <v>2510.51</v>
      </c>
      <c r="D22" s="9" t="n">
        <f aca="false">MIN($J$8,F21)</f>
        <v>1666.67</v>
      </c>
      <c r="E22" s="9" t="n">
        <f aca="false">ROUND(F21*$J$6*(MAX(0,DATE(YEAR(B22),1,1)-B21)/(DATE(YEAR(B21)+1,1,1)-DATE(YEAR(B21),1,1))+(B22-MAX(B21,DATE(YEAR(B22),1,1)))/(DATE(YEAR(B22)+1,1,1)-DATE(YEAR(B22),1,1))),2)</f>
        <v>843.84</v>
      </c>
      <c r="F22" s="9" t="n">
        <f aca="false">ROUND(F21-D22,2)</f>
        <v>71666.61</v>
      </c>
      <c r="G22" s="6" t="s">
        <v>12</v>
      </c>
    </row>
    <row r="23" customFormat="false" ht="15" hidden="false" customHeight="false" outlineLevel="0" collapsed="false">
      <c r="A23" s="13" t="n">
        <f aca="false">A22+1</f>
        <v>18</v>
      </c>
      <c r="B23" s="14" t="n">
        <f aca="false">EOMONTH(B22,1)</f>
        <v>46599</v>
      </c>
      <c r="C23" s="15" t="n">
        <f aca="false">D23+E23</f>
        <v>2518.82</v>
      </c>
      <c r="D23" s="15" t="n">
        <f aca="false">MIN($J$8,F22)</f>
        <v>1666.67</v>
      </c>
      <c r="E23" s="15" t="n">
        <f aca="false">ROUND(F22*$J$6*(MAX(0,DATE(YEAR(B23),1,1)-B22)/(DATE(YEAR(B22)+1,1,1)-DATE(YEAR(B22),1,1))+(B23-MAX(B22,DATE(YEAR(B23),1,1)))/(DATE(YEAR(B23)+1,1,1)-DATE(YEAR(B23),1,1))),2)</f>
        <v>852.15</v>
      </c>
      <c r="F23" s="15" t="n">
        <f aca="false">ROUND(F22-D23,2)</f>
        <v>69999.94</v>
      </c>
      <c r="G23" s="13" t="s">
        <v>12</v>
      </c>
      <c r="I23" s="4" t="s">
        <v>29</v>
      </c>
      <c r="J23" s="5"/>
    </row>
    <row r="24" customFormat="false" ht="15" hidden="false" customHeight="false" outlineLevel="0" collapsed="false">
      <c r="A24" s="6" t="n">
        <f aca="false">A23+1</f>
        <v>19</v>
      </c>
      <c r="B24" s="7" t="n">
        <f aca="false">EOMONTH(B23,1)</f>
        <v>46630</v>
      </c>
      <c r="C24" s="9" t="n">
        <f aca="false">D24+E24</f>
        <v>2499</v>
      </c>
      <c r="D24" s="9" t="n">
        <f aca="false">MIN($J$8,F23)</f>
        <v>1666.67</v>
      </c>
      <c r="E24" s="9" t="n">
        <f aca="false">ROUND(F23*$J$6*(MAX(0,DATE(YEAR(B24),1,1)-B23)/(DATE(YEAR(B23)+1,1,1)-DATE(YEAR(B23),1,1))+(B24-MAX(B23,DATE(YEAR(B24),1,1)))/(DATE(YEAR(B24)+1,1,1)-DATE(YEAR(B24),1,1))),2)</f>
        <v>832.33</v>
      </c>
      <c r="F24" s="9" t="n">
        <f aca="false">ROUND(F23-D24,2)</f>
        <v>68333.27</v>
      </c>
      <c r="G24" s="6" t="s">
        <v>12</v>
      </c>
      <c r="I24" s="10" t="s">
        <v>30</v>
      </c>
      <c r="J24" s="11" t="n">
        <v>2000</v>
      </c>
    </row>
    <row r="25" customFormat="false" ht="15" hidden="false" customHeight="false" outlineLevel="0" collapsed="false">
      <c r="A25" s="13" t="n">
        <f aca="false">A24+1</f>
        <v>20</v>
      </c>
      <c r="B25" s="14" t="n">
        <f aca="false">EOMONTH(B24,1)</f>
        <v>46660</v>
      </c>
      <c r="C25" s="15" t="n">
        <f aca="false">D25+E25</f>
        <v>2452.97</v>
      </c>
      <c r="D25" s="15" t="n">
        <f aca="false">MIN($J$8,F24)</f>
        <v>1666.67</v>
      </c>
      <c r="E25" s="15" t="n">
        <f aca="false">ROUND(F24*$J$6*(MAX(0,DATE(YEAR(B25),1,1)-B24)/(DATE(YEAR(B24)+1,1,1)-DATE(YEAR(B24),1,1))+(B25-MAX(B24,DATE(YEAR(B25),1,1)))/(DATE(YEAR(B25)+1,1,1)-DATE(YEAR(B25),1,1))),2)</f>
        <v>786.3</v>
      </c>
      <c r="F25" s="15" t="n">
        <f aca="false">ROUND(F24-D25,2)</f>
        <v>66666.6</v>
      </c>
      <c r="G25" s="13" t="s">
        <v>12</v>
      </c>
      <c r="I25" s="10" t="s">
        <v>31</v>
      </c>
      <c r="J25" s="11" t="n">
        <v>48000</v>
      </c>
    </row>
    <row r="26" customFormat="false" ht="15" hidden="false" customHeight="false" outlineLevel="0" collapsed="false">
      <c r="A26" s="6" t="n">
        <f aca="false">A25+1</f>
        <v>21</v>
      </c>
      <c r="B26" s="7" t="n">
        <f aca="false">EOMONTH(B25,1)</f>
        <v>46691</v>
      </c>
      <c r="C26" s="9" t="n">
        <f aca="false">D26+E26</f>
        <v>2459.36</v>
      </c>
      <c r="D26" s="9" t="n">
        <f aca="false">MIN($J$8,F25)</f>
        <v>1666.67</v>
      </c>
      <c r="E26" s="9" t="n">
        <f aca="false">ROUND(F25*$J$6*(MAX(0,DATE(YEAR(B26),1,1)-B25)/(DATE(YEAR(B25)+1,1,1)-DATE(YEAR(B25),1,1))+(B26-MAX(B25,DATE(YEAR(B26),1,1)))/(DATE(YEAR(B26)+1,1,1)-DATE(YEAR(B26),1,1))),2)</f>
        <v>792.69</v>
      </c>
      <c r="F26" s="9" t="n">
        <f aca="false">ROUND(F25-D26,2)</f>
        <v>64999.93</v>
      </c>
      <c r="G26" s="6" t="s">
        <v>12</v>
      </c>
      <c r="I26" s="10" t="s">
        <v>32</v>
      </c>
      <c r="J26" s="11" t="n">
        <v>50000</v>
      </c>
    </row>
    <row r="27" customFormat="false" ht="15" hidden="false" customHeight="false" outlineLevel="0" collapsed="false">
      <c r="A27" s="13" t="n">
        <f aca="false">A26+1</f>
        <v>22</v>
      </c>
      <c r="B27" s="14" t="n">
        <f aca="false">EOMONTH(B26,1)</f>
        <v>46721</v>
      </c>
      <c r="C27" s="15" t="n">
        <f aca="false">D27+E27</f>
        <v>2414.61</v>
      </c>
      <c r="D27" s="15" t="n">
        <f aca="false">MIN($J$8,F26)</f>
        <v>1666.67</v>
      </c>
      <c r="E27" s="15" t="n">
        <f aca="false">ROUND(F26*$J$6*(MAX(0,DATE(YEAR(B27),1,1)-B26)/(DATE(YEAR(B26)+1,1,1)-DATE(YEAR(B26),1,1))+(B27-MAX(B26,DATE(YEAR(B27),1,1)))/(DATE(YEAR(B27)+1,1,1)-DATE(YEAR(B27),1,1))),2)</f>
        <v>747.94</v>
      </c>
      <c r="F27" s="15" t="n">
        <f aca="false">ROUND(F26-D27,2)</f>
        <v>63333.26</v>
      </c>
      <c r="G27" s="13" t="s">
        <v>12</v>
      </c>
      <c r="I27" s="10" t="s">
        <v>33</v>
      </c>
      <c r="J27" s="17" t="n">
        <f aca="false">J5-J24-J25-J26</f>
        <v>0</v>
      </c>
    </row>
    <row r="28" customFormat="false" ht="15" hidden="false" customHeight="false" outlineLevel="0" collapsed="false">
      <c r="A28" s="6" t="n">
        <f aca="false">A27+1</f>
        <v>23</v>
      </c>
      <c r="B28" s="7" t="n">
        <f aca="false">EOMONTH(B27,1)</f>
        <v>46752</v>
      </c>
      <c r="C28" s="9" t="n">
        <f aca="false">D28+E28</f>
        <v>2419.73</v>
      </c>
      <c r="D28" s="9" t="n">
        <f aca="false">MIN($J$8,F27)</f>
        <v>1666.67</v>
      </c>
      <c r="E28" s="9" t="n">
        <f aca="false">ROUND(F27*$J$6*(MAX(0,DATE(YEAR(B28),1,1)-B27)/(DATE(YEAR(B27)+1,1,1)-DATE(YEAR(B27),1,1))+(B28-MAX(B27,DATE(YEAR(B28),1,1)))/(DATE(YEAR(B28)+1,1,1)-DATE(YEAR(B28),1,1))),2)</f>
        <v>753.06</v>
      </c>
      <c r="F28" s="9" t="n">
        <f aca="false">ROUND(F27-D28,2)</f>
        <v>61666.59</v>
      </c>
      <c r="G28" s="6" t="s">
        <v>12</v>
      </c>
      <c r="I28" s="10" t="s">
        <v>34</v>
      </c>
      <c r="J28" s="23" t="n">
        <v>0.5</v>
      </c>
    </row>
    <row r="29" customFormat="false" ht="15" hidden="false" customHeight="false" outlineLevel="0" collapsed="false">
      <c r="A29" s="13" t="n">
        <f aca="false">A28+1</f>
        <v>24</v>
      </c>
      <c r="B29" s="14" t="n">
        <f aca="false">EOMONTH(B28,1)</f>
        <v>46783</v>
      </c>
      <c r="C29" s="15" t="n">
        <f aca="false">D29+E29</f>
        <v>2397.97</v>
      </c>
      <c r="D29" s="15" t="n">
        <f aca="false">MIN($J$8,F28)</f>
        <v>1666.67</v>
      </c>
      <c r="E29" s="15" t="n">
        <f aca="false">ROUND(F28*$J$6*(MAX(0,DATE(YEAR(B29),1,1)-B28)/(DATE(YEAR(B28)+1,1,1)-DATE(YEAR(B28),1,1))+(B29-MAX(B28,DATE(YEAR(B29),1,1)))/(DATE(YEAR(B29)+1,1,1)-DATE(YEAR(B29),1,1))),2)</f>
        <v>731.3</v>
      </c>
      <c r="F29" s="15" t="n">
        <f aca="false">ROUND(F28-D29,2)</f>
        <v>59999.92</v>
      </c>
      <c r="G29" s="13" t="s">
        <v>12</v>
      </c>
      <c r="I29" s="10" t="s">
        <v>35</v>
      </c>
      <c r="J29" s="17" t="n">
        <f aca="false">J25+J24*J28</f>
        <v>49000</v>
      </c>
    </row>
    <row r="30" customFormat="false" ht="15" hidden="false" customHeight="false" outlineLevel="0" collapsed="false">
      <c r="A30" s="6" t="n">
        <f aca="false">A29+1</f>
        <v>25</v>
      </c>
      <c r="B30" s="7" t="n">
        <f aca="false">EOMONTH(B29,1)</f>
        <v>46812</v>
      </c>
      <c r="C30" s="9" t="n">
        <f aca="false">D30+E30</f>
        <v>2332.24</v>
      </c>
      <c r="D30" s="9" t="n">
        <f aca="false">MIN($J$8,F29)</f>
        <v>1666.67</v>
      </c>
      <c r="E30" s="9" t="n">
        <f aca="false">ROUND(F29*$J$6*(MAX(0,DATE(YEAR(B30),1,1)-B29)/(DATE(YEAR(B29)+1,1,1)-DATE(YEAR(B29),1,1))+(B30-MAX(B29,DATE(YEAR(B30),1,1)))/(DATE(YEAR(B30)+1,1,1)-DATE(YEAR(B30),1,1))),2)</f>
        <v>665.57</v>
      </c>
      <c r="F30" s="9" t="n">
        <f aca="false">ROUND(F29-D30,2)</f>
        <v>58333.25</v>
      </c>
      <c r="G30" s="6" t="s">
        <v>12</v>
      </c>
      <c r="I30" s="10" t="s">
        <v>36</v>
      </c>
      <c r="J30" s="17" t="n">
        <f aca="false">J26+J24*(1-J28)</f>
        <v>51000</v>
      </c>
    </row>
    <row r="31" customFormat="false" ht="15" hidden="false" customHeight="false" outlineLevel="0" collapsed="false">
      <c r="A31" s="13" t="n">
        <f aca="false">A30+1</f>
        <v>26</v>
      </c>
      <c r="B31" s="14" t="n">
        <f aca="false">EOMONTH(B30,1)</f>
        <v>46843</v>
      </c>
      <c r="C31" s="15" t="n">
        <f aca="false">D31+E31</f>
        <v>2358.38</v>
      </c>
      <c r="D31" s="15" t="n">
        <f aca="false">MIN($J$8,F30)</f>
        <v>1666.67</v>
      </c>
      <c r="E31" s="15" t="n">
        <f aca="false">ROUND(F30*$J$6*(MAX(0,DATE(YEAR(B31),1,1)-B30)/(DATE(YEAR(B30)+1,1,1)-DATE(YEAR(B30),1,1))+(B31-MAX(B30,DATE(YEAR(B31),1,1)))/(DATE(YEAR(B31)+1,1,1)-DATE(YEAR(B31),1,1))),2)</f>
        <v>691.71</v>
      </c>
      <c r="F31" s="15" t="n">
        <f aca="false">ROUND(F30-D31,2)</f>
        <v>56666.58</v>
      </c>
      <c r="G31" s="13" t="s">
        <v>12</v>
      </c>
      <c r="I31" s="10" t="s">
        <v>37</v>
      </c>
      <c r="J31" s="21" t="n">
        <f aca="false">J29/J5</f>
        <v>0.49</v>
      </c>
    </row>
    <row r="32" customFormat="false" ht="15" hidden="false" customHeight="false" outlineLevel="0" collapsed="false">
      <c r="A32" s="6" t="n">
        <f aca="false">A31+1</f>
        <v>27</v>
      </c>
      <c r="B32" s="7" t="n">
        <f aca="false">EOMONTH(B31,1)</f>
        <v>46873</v>
      </c>
      <c r="C32" s="9" t="n">
        <f aca="false">D32+E32</f>
        <v>2316.94</v>
      </c>
      <c r="D32" s="9" t="n">
        <f aca="false">MIN($J$8,F31)</f>
        <v>1666.67</v>
      </c>
      <c r="E32" s="9" t="n">
        <f aca="false">ROUND(F31*$J$6*(MAX(0,DATE(YEAR(B32),1,1)-B31)/(DATE(YEAR(B31)+1,1,1)-DATE(YEAR(B31),1,1))+(B32-MAX(B31,DATE(YEAR(B32),1,1)))/(DATE(YEAR(B32)+1,1,1)-DATE(YEAR(B32),1,1))),2)</f>
        <v>650.27</v>
      </c>
      <c r="F32" s="9" t="n">
        <f aca="false">ROUND(F31-D32,2)</f>
        <v>54999.91</v>
      </c>
      <c r="G32" s="6" t="s">
        <v>12</v>
      </c>
      <c r="I32" s="10" t="s">
        <v>38</v>
      </c>
      <c r="J32" s="21" t="n">
        <f aca="false">J30/J5</f>
        <v>0.51</v>
      </c>
    </row>
    <row r="33" customFormat="false" ht="15" hidden="false" customHeight="false" outlineLevel="0" collapsed="false">
      <c r="A33" s="13" t="n">
        <f aca="false">A32+1</f>
        <v>28</v>
      </c>
      <c r="B33" s="14" t="n">
        <f aca="false">EOMONTH(B32,1)</f>
        <v>46904</v>
      </c>
      <c r="C33" s="15" t="n">
        <f aca="false">D33+E33</f>
        <v>2318.85</v>
      </c>
      <c r="D33" s="15" t="n">
        <f aca="false">MIN($J$8,F32)</f>
        <v>1666.67</v>
      </c>
      <c r="E33" s="15" t="n">
        <f aca="false">ROUND(F32*$J$6*(MAX(0,DATE(YEAR(B33),1,1)-B32)/(DATE(YEAR(B32)+1,1,1)-DATE(YEAR(B32),1,1))+(B33-MAX(B32,DATE(YEAR(B33),1,1)))/(DATE(YEAR(B33)+1,1,1)-DATE(YEAR(B33),1,1))),2)</f>
        <v>652.18</v>
      </c>
      <c r="F33" s="15" t="n">
        <f aca="false">ROUND(F32-D33,2)</f>
        <v>53333.24</v>
      </c>
      <c r="G33" s="13" t="s">
        <v>12</v>
      </c>
    </row>
    <row r="34" customFormat="false" ht="15" hidden="false" customHeight="false" outlineLevel="0" collapsed="false">
      <c r="A34" s="6" t="n">
        <f aca="false">A33+1</f>
        <v>29</v>
      </c>
      <c r="B34" s="7" t="n">
        <f aca="false">EOMONTH(B33,1)</f>
        <v>46934</v>
      </c>
      <c r="C34" s="9" t="n">
        <f aca="false">D34+E34</f>
        <v>2278.69</v>
      </c>
      <c r="D34" s="9" t="n">
        <f aca="false">MIN($J$8,F33)</f>
        <v>1666.67</v>
      </c>
      <c r="E34" s="9" t="n">
        <f aca="false">ROUND(F33*$J$6*(MAX(0,DATE(YEAR(B34),1,1)-B33)/(DATE(YEAR(B33)+1,1,1)-DATE(YEAR(B33),1,1))+(B34-MAX(B33,DATE(YEAR(B34),1,1)))/(DATE(YEAR(B34)+1,1,1)-DATE(YEAR(B34),1,1))),2)</f>
        <v>612.02</v>
      </c>
      <c r="F34" s="9" t="n">
        <f aca="false">ROUND(F33-D34,2)</f>
        <v>51666.57</v>
      </c>
      <c r="G34" s="6" t="s">
        <v>12</v>
      </c>
    </row>
    <row r="35" customFormat="false" ht="15" hidden="false" customHeight="false" outlineLevel="0" collapsed="false">
      <c r="A35" s="13" t="n">
        <f aca="false">A34+1</f>
        <v>30</v>
      </c>
      <c r="B35" s="14" t="n">
        <f aca="false">EOMONTH(B34,1)</f>
        <v>46965</v>
      </c>
      <c r="C35" s="15" t="n">
        <f aca="false">D35+E35</f>
        <v>2279.33</v>
      </c>
      <c r="D35" s="15" t="n">
        <f aca="false">MIN($J$8,F34)</f>
        <v>1666.67</v>
      </c>
      <c r="E35" s="15" t="n">
        <f aca="false">ROUND(F34*$J$6*(MAX(0,DATE(YEAR(B35),1,1)-B34)/(DATE(YEAR(B34)+1,1,1)-DATE(YEAR(B34),1,1))+(B35-MAX(B34,DATE(YEAR(B35),1,1)))/(DATE(YEAR(B35)+1,1,1)-DATE(YEAR(B35),1,1))),2)</f>
        <v>612.66</v>
      </c>
      <c r="F35" s="15" t="n">
        <f aca="false">ROUND(F34-D35,2)</f>
        <v>49999.9</v>
      </c>
      <c r="G35" s="13" t="s">
        <v>12</v>
      </c>
    </row>
    <row r="36" customFormat="false" ht="15" hidden="false" customHeight="false" outlineLevel="0" collapsed="false">
      <c r="A36" s="6" t="n">
        <f aca="false">A35+1</f>
        <v>31</v>
      </c>
      <c r="B36" s="7" t="n">
        <f aca="false">EOMONTH(B35,1)</f>
        <v>46996</v>
      </c>
      <c r="C36" s="9" t="n">
        <f aca="false">D36+E36</f>
        <v>2259.56</v>
      </c>
      <c r="D36" s="9" t="n">
        <f aca="false">MIN($J$8,F35)</f>
        <v>1666.67</v>
      </c>
      <c r="E36" s="9" t="n">
        <f aca="false">ROUND(F35*$J$6*(MAX(0,DATE(YEAR(B36),1,1)-B35)/(DATE(YEAR(B35)+1,1,1)-DATE(YEAR(B35),1,1))+(B36-MAX(B35,DATE(YEAR(B36),1,1)))/(DATE(YEAR(B36)+1,1,1)-DATE(YEAR(B36),1,1))),2)</f>
        <v>592.89</v>
      </c>
      <c r="F36" s="9" t="n">
        <f aca="false">ROUND(F35-D36,2)</f>
        <v>48333.23</v>
      </c>
      <c r="G36" s="6" t="s">
        <v>12</v>
      </c>
    </row>
    <row r="37" customFormat="false" ht="15" hidden="false" customHeight="false" outlineLevel="0" collapsed="false">
      <c r="A37" s="13" t="n">
        <f aca="false">A36+1</f>
        <v>32</v>
      </c>
      <c r="B37" s="14" t="n">
        <f aca="false">EOMONTH(B36,1)</f>
        <v>47026</v>
      </c>
      <c r="C37" s="15" t="n">
        <f aca="false">D37+E37</f>
        <v>2221.31</v>
      </c>
      <c r="D37" s="15" t="n">
        <f aca="false">MIN($J$8,F36)</f>
        <v>1666.67</v>
      </c>
      <c r="E37" s="15" t="n">
        <f aca="false">ROUND(F36*$J$6*(MAX(0,DATE(YEAR(B37),1,1)-B36)/(DATE(YEAR(B36)+1,1,1)-DATE(YEAR(B36),1,1))+(B37-MAX(B36,DATE(YEAR(B37),1,1)))/(DATE(YEAR(B37)+1,1,1)-DATE(YEAR(B37),1,1))),2)</f>
        <v>554.64</v>
      </c>
      <c r="F37" s="15" t="n">
        <f aca="false">ROUND(F36-D37,2)</f>
        <v>46666.56</v>
      </c>
      <c r="G37" s="13" t="s">
        <v>12</v>
      </c>
    </row>
    <row r="38" customFormat="false" ht="15" hidden="false" customHeight="false" outlineLevel="0" collapsed="false">
      <c r="A38" s="6" t="n">
        <f aca="false">A37+1</f>
        <v>33</v>
      </c>
      <c r="B38" s="7" t="n">
        <f aca="false">EOMONTH(B37,1)</f>
        <v>47057</v>
      </c>
      <c r="C38" s="9" t="n">
        <f aca="false">D38+E38</f>
        <v>2220.04</v>
      </c>
      <c r="D38" s="9" t="n">
        <f aca="false">MIN($J$8,F37)</f>
        <v>1666.67</v>
      </c>
      <c r="E38" s="9" t="n">
        <f aca="false">ROUND(F37*$J$6*(MAX(0,DATE(YEAR(B38),1,1)-B37)/(DATE(YEAR(B37)+1,1,1)-DATE(YEAR(B37),1,1))+(B38-MAX(B37,DATE(YEAR(B38),1,1)))/(DATE(YEAR(B38)+1,1,1)-DATE(YEAR(B38),1,1))),2)</f>
        <v>553.37</v>
      </c>
      <c r="F38" s="9" t="n">
        <f aca="false">ROUND(F37-D38,2)</f>
        <v>44999.89</v>
      </c>
      <c r="G38" s="6" t="s">
        <v>12</v>
      </c>
    </row>
    <row r="39" customFormat="false" ht="15" hidden="false" customHeight="false" outlineLevel="0" collapsed="false">
      <c r="A39" s="13" t="n">
        <f aca="false">A38+1</f>
        <v>34</v>
      </c>
      <c r="B39" s="14" t="n">
        <f aca="false">EOMONTH(B38,1)</f>
        <v>47087</v>
      </c>
      <c r="C39" s="15" t="n">
        <f aca="false">D39+E39</f>
        <v>2183.06</v>
      </c>
      <c r="D39" s="15" t="n">
        <f aca="false">MIN($J$8,F38)</f>
        <v>1666.67</v>
      </c>
      <c r="E39" s="15" t="n">
        <f aca="false">ROUND(F38*$J$6*(MAX(0,DATE(YEAR(B39),1,1)-B38)/(DATE(YEAR(B38)+1,1,1)-DATE(YEAR(B38),1,1))+(B39-MAX(B38,DATE(YEAR(B39),1,1)))/(DATE(YEAR(B39)+1,1,1)-DATE(YEAR(B39),1,1))),2)</f>
        <v>516.39</v>
      </c>
      <c r="F39" s="15" t="n">
        <f aca="false">ROUND(F38-D39,2)</f>
        <v>43333.22</v>
      </c>
      <c r="G39" s="13" t="s">
        <v>12</v>
      </c>
    </row>
    <row r="40" customFormat="false" ht="15" hidden="false" customHeight="false" outlineLevel="0" collapsed="false">
      <c r="A40" s="6" t="n">
        <f aca="false">A39+1</f>
        <v>35</v>
      </c>
      <c r="B40" s="7" t="n">
        <f aca="false">EOMONTH(B39,1)</f>
        <v>47118</v>
      </c>
      <c r="C40" s="9" t="n">
        <f aca="false">D40+E40</f>
        <v>2180.51</v>
      </c>
      <c r="D40" s="9" t="n">
        <f aca="false">MIN($J$8,F39)</f>
        <v>1666.67</v>
      </c>
      <c r="E40" s="9" t="n">
        <f aca="false">ROUND(F39*$J$6*(MAX(0,DATE(YEAR(B40),1,1)-B39)/(DATE(YEAR(B39)+1,1,1)-DATE(YEAR(B39),1,1))+(B40-MAX(B39,DATE(YEAR(B40),1,1)))/(DATE(YEAR(B40)+1,1,1)-DATE(YEAR(B40),1,1))),2)</f>
        <v>513.84</v>
      </c>
      <c r="F40" s="9" t="n">
        <f aca="false">ROUND(F39-D40,2)</f>
        <v>41666.55</v>
      </c>
      <c r="G40" s="6" t="s">
        <v>12</v>
      </c>
    </row>
    <row r="41" customFormat="false" ht="15" hidden="false" customHeight="false" outlineLevel="0" collapsed="false">
      <c r="A41" s="13" t="n">
        <f aca="false">A40+1</f>
        <v>36</v>
      </c>
      <c r="B41" s="14" t="n">
        <f aca="false">EOMONTH(B40,1)</f>
        <v>47149</v>
      </c>
      <c r="C41" s="15" t="n">
        <f aca="false">D41+E41</f>
        <v>2162.06</v>
      </c>
      <c r="D41" s="15" t="n">
        <f aca="false">MIN($J$8,F40)</f>
        <v>1666.67</v>
      </c>
      <c r="E41" s="15" t="n">
        <f aca="false">ROUND(F40*$J$6*(MAX(0,DATE(YEAR(B41),1,1)-B40)/(DATE(YEAR(B40)+1,1,1)-DATE(YEAR(B40),1,1))+(B41-MAX(B40,DATE(YEAR(B41),1,1)))/(DATE(YEAR(B41)+1,1,1)-DATE(YEAR(B41),1,1))),2)</f>
        <v>495.39</v>
      </c>
      <c r="F41" s="15" t="n">
        <f aca="false">ROUND(F40-D41,2)</f>
        <v>39999.88</v>
      </c>
      <c r="G41" s="13" t="s">
        <v>12</v>
      </c>
    </row>
    <row r="42" customFormat="false" ht="15" hidden="false" customHeight="false" outlineLevel="0" collapsed="false">
      <c r="A42" s="6" t="n">
        <f aca="false">A41+1</f>
        <v>37</v>
      </c>
      <c r="B42" s="7" t="n">
        <f aca="false">EOMONTH(B41,1)</f>
        <v>47177</v>
      </c>
      <c r="C42" s="9" t="n">
        <f aca="false">D42+E42</f>
        <v>2096.26</v>
      </c>
      <c r="D42" s="9" t="n">
        <f aca="false">MIN($J$8,F41)</f>
        <v>1666.67</v>
      </c>
      <c r="E42" s="9" t="n">
        <f aca="false">ROUND(F41*$J$6*(MAX(0,DATE(YEAR(B42),1,1)-B41)/(DATE(YEAR(B41)+1,1,1)-DATE(YEAR(B41),1,1))+(B42-MAX(B41,DATE(YEAR(B42),1,1)))/(DATE(YEAR(B42)+1,1,1)-DATE(YEAR(B42),1,1))),2)</f>
        <v>429.59</v>
      </c>
      <c r="F42" s="9" t="n">
        <f aca="false">ROUND(F41-D42,2)</f>
        <v>38333.21</v>
      </c>
      <c r="G42" s="6" t="s">
        <v>12</v>
      </c>
    </row>
    <row r="43" customFormat="false" ht="15" hidden="false" customHeight="false" outlineLevel="0" collapsed="false">
      <c r="A43" s="13" t="n">
        <f aca="false">A42+1</f>
        <v>38</v>
      </c>
      <c r="B43" s="14" t="n">
        <f aca="false">EOMONTH(B42,1)</f>
        <v>47208</v>
      </c>
      <c r="C43" s="15" t="n">
        <f aca="false">D43+E43</f>
        <v>2122.47</v>
      </c>
      <c r="D43" s="15" t="n">
        <f aca="false">MIN($J$8,F42)</f>
        <v>1666.67</v>
      </c>
      <c r="E43" s="15" t="n">
        <f aca="false">ROUND(F42*$J$6*(MAX(0,DATE(YEAR(B43),1,1)-B42)/(DATE(YEAR(B42)+1,1,1)-DATE(YEAR(B42),1,1))+(B43-MAX(B42,DATE(YEAR(B43),1,1)))/(DATE(YEAR(B43)+1,1,1)-DATE(YEAR(B43),1,1))),2)</f>
        <v>455.8</v>
      </c>
      <c r="F43" s="15" t="n">
        <f aca="false">ROUND(F42-D43,2)</f>
        <v>36666.54</v>
      </c>
      <c r="G43" s="13" t="s">
        <v>12</v>
      </c>
    </row>
    <row r="44" customFormat="false" ht="15" hidden="false" customHeight="false" outlineLevel="0" collapsed="false">
      <c r="A44" s="6" t="n">
        <f aca="false">A43+1</f>
        <v>39</v>
      </c>
      <c r="B44" s="7" t="n">
        <f aca="false">EOMONTH(B43,1)</f>
        <v>47238</v>
      </c>
      <c r="C44" s="9" t="n">
        <f aca="false">D44+E44</f>
        <v>2088.59</v>
      </c>
      <c r="D44" s="9" t="n">
        <f aca="false">MIN($J$8,F43)</f>
        <v>1666.67</v>
      </c>
      <c r="E44" s="9" t="n">
        <f aca="false">ROUND(F43*$J$6*(MAX(0,DATE(YEAR(B44),1,1)-B43)/(DATE(YEAR(B43)+1,1,1)-DATE(YEAR(B43),1,1))+(B44-MAX(B43,DATE(YEAR(B44),1,1)))/(DATE(YEAR(B44)+1,1,1)-DATE(YEAR(B44),1,1))),2)</f>
        <v>421.92</v>
      </c>
      <c r="F44" s="9" t="n">
        <f aca="false">ROUND(F43-D44,2)</f>
        <v>34999.87</v>
      </c>
      <c r="G44" s="6" t="s">
        <v>12</v>
      </c>
    </row>
    <row r="45" customFormat="false" ht="15" hidden="false" customHeight="false" outlineLevel="0" collapsed="false">
      <c r="A45" s="13" t="n">
        <f aca="false">A44+1</f>
        <v>40</v>
      </c>
      <c r="B45" s="14" t="n">
        <f aca="false">EOMONTH(B44,1)</f>
        <v>47269</v>
      </c>
      <c r="C45" s="15" t="n">
        <f aca="false">D45+E45</f>
        <v>2082.83</v>
      </c>
      <c r="D45" s="15" t="n">
        <f aca="false">MIN($J$8,F44)</f>
        <v>1666.67</v>
      </c>
      <c r="E45" s="15" t="n">
        <f aca="false">ROUND(F44*$J$6*(MAX(0,DATE(YEAR(B45),1,1)-B44)/(DATE(YEAR(B44)+1,1,1)-DATE(YEAR(B44),1,1))+(B45-MAX(B44,DATE(YEAR(B45),1,1)))/(DATE(YEAR(B45)+1,1,1)-DATE(YEAR(B45),1,1))),2)</f>
        <v>416.16</v>
      </c>
      <c r="F45" s="15" t="n">
        <f aca="false">ROUND(F44-D45,2)</f>
        <v>33333.2</v>
      </c>
      <c r="G45" s="13" t="s">
        <v>12</v>
      </c>
    </row>
    <row r="46" customFormat="false" ht="15" hidden="false" customHeight="false" outlineLevel="0" collapsed="false">
      <c r="A46" s="6" t="n">
        <f aca="false">A45+1</f>
        <v>41</v>
      </c>
      <c r="B46" s="7" t="n">
        <f aca="false">EOMONTH(B45,1)</f>
        <v>47299</v>
      </c>
      <c r="C46" s="9" t="n">
        <f aca="false">D46+E46</f>
        <v>2050.23</v>
      </c>
      <c r="D46" s="9" t="n">
        <f aca="false">MIN($J$8,F45)</f>
        <v>1666.67</v>
      </c>
      <c r="E46" s="9" t="n">
        <f aca="false">ROUND(F45*$J$6*(MAX(0,DATE(YEAR(B46),1,1)-B45)/(DATE(YEAR(B45)+1,1,1)-DATE(YEAR(B45),1,1))+(B46-MAX(B45,DATE(YEAR(B46),1,1)))/(DATE(YEAR(B46)+1,1,1)-DATE(YEAR(B46),1,1))),2)</f>
        <v>383.56</v>
      </c>
      <c r="F46" s="9" t="n">
        <f aca="false">ROUND(F45-D46,2)</f>
        <v>31666.53</v>
      </c>
      <c r="G46" s="6" t="s">
        <v>12</v>
      </c>
    </row>
    <row r="47" customFormat="false" ht="15" hidden="false" customHeight="false" outlineLevel="0" collapsed="false">
      <c r="A47" s="13" t="n">
        <f aca="false">A46+1</f>
        <v>42</v>
      </c>
      <c r="B47" s="14" t="n">
        <f aca="false">EOMONTH(B46,1)</f>
        <v>47330</v>
      </c>
      <c r="C47" s="15" t="n">
        <f aca="false">D47+E47</f>
        <v>2043.2</v>
      </c>
      <c r="D47" s="15" t="n">
        <f aca="false">MIN($J$8,F46)</f>
        <v>1666.67</v>
      </c>
      <c r="E47" s="15" t="n">
        <f aca="false">ROUND(F46*$J$6*(MAX(0,DATE(YEAR(B47),1,1)-B46)/(DATE(YEAR(B46)+1,1,1)-DATE(YEAR(B46),1,1))+(B47-MAX(B46,DATE(YEAR(B47),1,1)))/(DATE(YEAR(B47)+1,1,1)-DATE(YEAR(B47),1,1))),2)</f>
        <v>376.53</v>
      </c>
      <c r="F47" s="15" t="n">
        <f aca="false">ROUND(F46-D47,2)</f>
        <v>29999.86</v>
      </c>
      <c r="G47" s="13" t="s">
        <v>12</v>
      </c>
    </row>
    <row r="48" customFormat="false" ht="15" hidden="false" customHeight="false" outlineLevel="0" collapsed="false">
      <c r="A48" s="6" t="n">
        <f aca="false">A47+1</f>
        <v>43</v>
      </c>
      <c r="B48" s="7" t="n">
        <f aca="false">EOMONTH(B47,1)</f>
        <v>47361</v>
      </c>
      <c r="C48" s="9" t="n">
        <f aca="false">D48+E48</f>
        <v>2023.38</v>
      </c>
      <c r="D48" s="9" t="n">
        <f aca="false">MIN($J$8,F47)</f>
        <v>1666.67</v>
      </c>
      <c r="E48" s="9" t="n">
        <f aca="false">ROUND(F47*$J$6*(MAX(0,DATE(YEAR(B48),1,1)-B47)/(DATE(YEAR(B47)+1,1,1)-DATE(YEAR(B47),1,1))+(B48-MAX(B47,DATE(YEAR(B48),1,1)))/(DATE(YEAR(B48)+1,1,1)-DATE(YEAR(B48),1,1))),2)</f>
        <v>356.71</v>
      </c>
      <c r="F48" s="9" t="n">
        <f aca="false">ROUND(F47-D48,2)</f>
        <v>28333.19</v>
      </c>
      <c r="G48" s="6" t="s">
        <v>12</v>
      </c>
    </row>
    <row r="49" customFormat="false" ht="15" hidden="false" customHeight="false" outlineLevel="0" collapsed="false">
      <c r="A49" s="13" t="n">
        <f aca="false">A48+1</f>
        <v>44</v>
      </c>
      <c r="B49" s="14" t="n">
        <f aca="false">EOMONTH(B48,1)</f>
        <v>47391</v>
      </c>
      <c r="C49" s="15" t="n">
        <f aca="false">D49+E49</f>
        <v>1992.7</v>
      </c>
      <c r="D49" s="15" t="n">
        <f aca="false">MIN($J$8,F48)</f>
        <v>1666.67</v>
      </c>
      <c r="E49" s="15" t="n">
        <f aca="false">ROUND(F48*$J$6*(MAX(0,DATE(YEAR(B49),1,1)-B48)/(DATE(YEAR(B48)+1,1,1)-DATE(YEAR(B48),1,1))+(B49-MAX(B48,DATE(YEAR(B49),1,1)))/(DATE(YEAR(B49)+1,1,1)-DATE(YEAR(B49),1,1))),2)</f>
        <v>326.03</v>
      </c>
      <c r="F49" s="15" t="n">
        <f aca="false">ROUND(F48-D49,2)</f>
        <v>26666.52</v>
      </c>
      <c r="G49" s="13" t="s">
        <v>12</v>
      </c>
    </row>
    <row r="50" customFormat="false" ht="15" hidden="false" customHeight="false" outlineLevel="0" collapsed="false">
      <c r="A50" s="6" t="n">
        <f aca="false">A49+1</f>
        <v>45</v>
      </c>
      <c r="B50" s="7" t="n">
        <f aca="false">EOMONTH(B49,1)</f>
        <v>47422</v>
      </c>
      <c r="C50" s="9" t="n">
        <f aca="false">D50+E50</f>
        <v>1983.75</v>
      </c>
      <c r="D50" s="9" t="n">
        <f aca="false">MIN($J$8,F49)</f>
        <v>1666.67</v>
      </c>
      <c r="E50" s="9" t="n">
        <f aca="false">ROUND(F49*$J$6*(MAX(0,DATE(YEAR(B50),1,1)-B49)/(DATE(YEAR(B49)+1,1,1)-DATE(YEAR(B49),1,1))+(B50-MAX(B49,DATE(YEAR(B50),1,1)))/(DATE(YEAR(B50)+1,1,1)-DATE(YEAR(B50),1,1))),2)</f>
        <v>317.08</v>
      </c>
      <c r="F50" s="9" t="n">
        <f aca="false">ROUND(F49-D50,2)</f>
        <v>24999.85</v>
      </c>
      <c r="G50" s="6" t="s">
        <v>12</v>
      </c>
    </row>
    <row r="51" customFormat="false" ht="15" hidden="false" customHeight="false" outlineLevel="0" collapsed="false">
      <c r="A51" s="13" t="n">
        <f aca="false">A50+1</f>
        <v>46</v>
      </c>
      <c r="B51" s="14" t="n">
        <f aca="false">EOMONTH(B50,1)</f>
        <v>47452</v>
      </c>
      <c r="C51" s="15" t="n">
        <f aca="false">D51+E51</f>
        <v>1954.34</v>
      </c>
      <c r="D51" s="15" t="n">
        <f aca="false">MIN($J$8,F50)</f>
        <v>1666.67</v>
      </c>
      <c r="E51" s="15" t="n">
        <f aca="false">ROUND(F50*$J$6*(MAX(0,DATE(YEAR(B51),1,1)-B50)/(DATE(YEAR(B50)+1,1,1)-DATE(YEAR(B50),1,1))+(B51-MAX(B50,DATE(YEAR(B51),1,1)))/(DATE(YEAR(B51)+1,1,1)-DATE(YEAR(B51),1,1))),2)</f>
        <v>287.67</v>
      </c>
      <c r="F51" s="15" t="n">
        <f aca="false">ROUND(F50-D51,2)</f>
        <v>23333.18</v>
      </c>
      <c r="G51" s="13" t="s">
        <v>12</v>
      </c>
    </row>
    <row r="52" customFormat="false" ht="15" hidden="false" customHeight="false" outlineLevel="0" collapsed="false">
      <c r="A52" s="6" t="n">
        <f aca="false">A51+1</f>
        <v>47</v>
      </c>
      <c r="B52" s="7" t="n">
        <f aca="false">EOMONTH(B51,1)</f>
        <v>47483</v>
      </c>
      <c r="C52" s="9" t="n">
        <f aca="false">D52+E52</f>
        <v>1944.11</v>
      </c>
      <c r="D52" s="9" t="n">
        <f aca="false">MIN($J$8,F51)</f>
        <v>1666.67</v>
      </c>
      <c r="E52" s="9" t="n">
        <f aca="false">ROUND(F51*$J$6*(MAX(0,DATE(YEAR(B52),1,1)-B51)/(DATE(YEAR(B51)+1,1,1)-DATE(YEAR(B51),1,1))+(B52-MAX(B51,DATE(YEAR(B52),1,1)))/(DATE(YEAR(B52)+1,1,1)-DATE(YEAR(B52),1,1))),2)</f>
        <v>277.44</v>
      </c>
      <c r="F52" s="9" t="n">
        <f aca="false">ROUND(F51-D52,2)</f>
        <v>21666.51</v>
      </c>
      <c r="G52" s="6" t="s">
        <v>12</v>
      </c>
    </row>
    <row r="53" customFormat="false" ht="15" hidden="false" customHeight="false" outlineLevel="0" collapsed="false">
      <c r="A53" s="24" t="n">
        <f aca="false">A52+1</f>
        <v>48</v>
      </c>
      <c r="B53" s="25" t="n">
        <f aca="false">EOMONTH(B52,1)</f>
        <v>47514</v>
      </c>
      <c r="C53" s="26" t="n">
        <f aca="false">D53+E53</f>
        <v>1924.29</v>
      </c>
      <c r="D53" s="26" t="n">
        <f aca="false">MIN($J$8,F52)</f>
        <v>1666.67</v>
      </c>
      <c r="E53" s="26" t="n">
        <f aca="false">ROUND(F52*$J$6*(MAX(0,DATE(YEAR(B53),1,1)-B52)/(DATE(YEAR(B52)+1,1,1)-DATE(YEAR(B52),1,1))+(B53-MAX(B52,DATE(YEAR(B53),1,1)))/(DATE(YEAR(B53)+1,1,1)-DATE(YEAR(B53),1,1))),2)</f>
        <v>257.62</v>
      </c>
      <c r="F53" s="26" t="n">
        <f aca="false">ROUND(F52-D53,2)</f>
        <v>19999.84</v>
      </c>
      <c r="G53" s="24" t="s">
        <v>39</v>
      </c>
    </row>
    <row r="54" customFormat="false" ht="15" hidden="false" customHeight="false" outlineLevel="0" collapsed="false">
      <c r="A54" s="24" t="n">
        <f aca="false">A53+1</f>
        <v>49</v>
      </c>
      <c r="B54" s="25" t="n">
        <f aca="false">EOMONTH(B53,1)</f>
        <v>47542</v>
      </c>
      <c r="C54" s="26" t="n">
        <f aca="false">D54+E54</f>
        <v>1881.46</v>
      </c>
      <c r="D54" s="26" t="n">
        <f aca="false">MIN($J$8,F53)</f>
        <v>1666.67</v>
      </c>
      <c r="E54" s="26" t="n">
        <f aca="false">ROUND(F53*$J$6*(MAX(0,DATE(YEAR(B54),1,1)-B53)/(DATE(YEAR(B53)+1,1,1)-DATE(YEAR(B53),1,1))+(B54-MAX(B53,DATE(YEAR(B54),1,1)))/(DATE(YEAR(B54)+1,1,1)-DATE(YEAR(B54),1,1))),2)</f>
        <v>214.79</v>
      </c>
      <c r="F54" s="26" t="n">
        <f aca="false">ROUND(F53-D54,2)</f>
        <v>18333.17</v>
      </c>
      <c r="G54" s="24" t="s">
        <v>39</v>
      </c>
    </row>
    <row r="55" customFormat="false" ht="15" hidden="false" customHeight="false" outlineLevel="0" collapsed="false">
      <c r="A55" s="24" t="n">
        <f aca="false">A54+1</f>
        <v>50</v>
      </c>
      <c r="B55" s="25" t="n">
        <f aca="false">EOMONTH(B54,1)</f>
        <v>47573</v>
      </c>
      <c r="C55" s="26" t="n">
        <f aca="false">D55+E55</f>
        <v>1884.66</v>
      </c>
      <c r="D55" s="26" t="n">
        <f aca="false">MIN($J$8,F54)</f>
        <v>1666.67</v>
      </c>
      <c r="E55" s="26" t="n">
        <f aca="false">ROUND(F54*$J$6*(MAX(0,DATE(YEAR(B55),1,1)-B54)/(DATE(YEAR(B54)+1,1,1)-DATE(YEAR(B54),1,1))+(B55-MAX(B54,DATE(YEAR(B55),1,1)))/(DATE(YEAR(B55)+1,1,1)-DATE(YEAR(B55),1,1))),2)</f>
        <v>217.99</v>
      </c>
      <c r="F55" s="26" t="n">
        <f aca="false">ROUND(F54-D55,2)</f>
        <v>16666.5</v>
      </c>
      <c r="G55" s="24" t="s">
        <v>39</v>
      </c>
    </row>
    <row r="56" customFormat="false" ht="15" hidden="false" customHeight="false" outlineLevel="0" collapsed="false">
      <c r="A56" s="24" t="n">
        <f aca="false">A55+1</f>
        <v>51</v>
      </c>
      <c r="B56" s="25" t="n">
        <f aca="false">EOMONTH(B55,1)</f>
        <v>47603</v>
      </c>
      <c r="C56" s="26" t="n">
        <f aca="false">D56+E56</f>
        <v>1858.45</v>
      </c>
      <c r="D56" s="26" t="n">
        <f aca="false">MIN($J$8,F55)</f>
        <v>1666.67</v>
      </c>
      <c r="E56" s="26" t="n">
        <f aca="false">ROUND(F55*$J$6*(MAX(0,DATE(YEAR(B56),1,1)-B55)/(DATE(YEAR(B55)+1,1,1)-DATE(YEAR(B55),1,1))+(B56-MAX(B55,DATE(YEAR(B56),1,1)))/(DATE(YEAR(B56)+1,1,1)-DATE(YEAR(B56),1,1))),2)</f>
        <v>191.78</v>
      </c>
      <c r="F56" s="26" t="n">
        <f aca="false">ROUND(F55-D56,2)</f>
        <v>14999.83</v>
      </c>
      <c r="G56" s="24" t="s">
        <v>39</v>
      </c>
    </row>
    <row r="57" customFormat="false" ht="15" hidden="false" customHeight="false" outlineLevel="0" collapsed="false">
      <c r="A57" s="24" t="n">
        <f aca="false">A56+1</f>
        <v>52</v>
      </c>
      <c r="B57" s="25" t="n">
        <f aca="false">EOMONTH(B56,1)</f>
        <v>47634</v>
      </c>
      <c r="C57" s="26" t="n">
        <f aca="false">D57+E57</f>
        <v>1845.02</v>
      </c>
      <c r="D57" s="26" t="n">
        <f aca="false">MIN($J$8,F56)</f>
        <v>1666.67</v>
      </c>
      <c r="E57" s="26" t="n">
        <f aca="false">ROUND(F56*$J$6*(MAX(0,DATE(YEAR(B57),1,1)-B56)/(DATE(YEAR(B56)+1,1,1)-DATE(YEAR(B56),1,1))+(B57-MAX(B56,DATE(YEAR(B57),1,1)))/(DATE(YEAR(B57)+1,1,1)-DATE(YEAR(B57),1,1))),2)</f>
        <v>178.35</v>
      </c>
      <c r="F57" s="26" t="n">
        <f aca="false">ROUND(F56-D57,2)</f>
        <v>13333.16</v>
      </c>
      <c r="G57" s="24" t="s">
        <v>39</v>
      </c>
    </row>
    <row r="58" customFormat="false" ht="15" hidden="false" customHeight="false" outlineLevel="0" collapsed="false">
      <c r="A58" s="24" t="n">
        <f aca="false">A57+1</f>
        <v>53</v>
      </c>
      <c r="B58" s="25" t="n">
        <f aca="false">EOMONTH(B57,1)</f>
        <v>47664</v>
      </c>
      <c r="C58" s="26" t="n">
        <f aca="false">D58+E58</f>
        <v>1820.09</v>
      </c>
      <c r="D58" s="26" t="n">
        <f aca="false">MIN($J$8,F57)</f>
        <v>1666.67</v>
      </c>
      <c r="E58" s="26" t="n">
        <f aca="false">ROUND(F57*$J$6*(MAX(0,DATE(YEAR(B58),1,1)-B57)/(DATE(YEAR(B57)+1,1,1)-DATE(YEAR(B57),1,1))+(B58-MAX(B57,DATE(YEAR(B58),1,1)))/(DATE(YEAR(B58)+1,1,1)-DATE(YEAR(B58),1,1))),2)</f>
        <v>153.42</v>
      </c>
      <c r="F58" s="26" t="n">
        <f aca="false">ROUND(F57-D58,2)</f>
        <v>11666.49</v>
      </c>
      <c r="G58" s="24" t="s">
        <v>39</v>
      </c>
    </row>
    <row r="59" customFormat="false" ht="15" hidden="false" customHeight="false" outlineLevel="0" collapsed="false">
      <c r="A59" s="24" t="n">
        <f aca="false">A58+1</f>
        <v>54</v>
      </c>
      <c r="B59" s="25" t="n">
        <f aca="false">EOMONTH(B58,1)</f>
        <v>47695</v>
      </c>
      <c r="C59" s="26" t="n">
        <f aca="false">D59+E59</f>
        <v>1805.39</v>
      </c>
      <c r="D59" s="26" t="n">
        <f aca="false">MIN($J$8,F58)</f>
        <v>1666.67</v>
      </c>
      <c r="E59" s="26" t="n">
        <f aca="false">ROUND(F58*$J$6*(MAX(0,DATE(YEAR(B59),1,1)-B58)/(DATE(YEAR(B58)+1,1,1)-DATE(YEAR(B58),1,1))+(B59-MAX(B58,DATE(YEAR(B59),1,1)))/(DATE(YEAR(B59)+1,1,1)-DATE(YEAR(B59),1,1))),2)</f>
        <v>138.72</v>
      </c>
      <c r="F59" s="26" t="n">
        <f aca="false">ROUND(F58-D59,2)</f>
        <v>9999.82</v>
      </c>
      <c r="G59" s="24" t="s">
        <v>39</v>
      </c>
    </row>
    <row r="60" customFormat="false" ht="15" hidden="false" customHeight="false" outlineLevel="0" collapsed="false">
      <c r="A60" s="24" t="n">
        <f aca="false">A59+1</f>
        <v>55</v>
      </c>
      <c r="B60" s="25" t="n">
        <f aca="false">EOMONTH(B59,1)</f>
        <v>47726</v>
      </c>
      <c r="C60" s="26" t="n">
        <f aca="false">D60+E60</f>
        <v>1785.57</v>
      </c>
      <c r="D60" s="26" t="n">
        <f aca="false">MIN($J$8,F59)</f>
        <v>1666.67</v>
      </c>
      <c r="E60" s="26" t="n">
        <f aca="false">ROUND(F59*$J$6*(MAX(0,DATE(YEAR(B60),1,1)-B59)/(DATE(YEAR(B59)+1,1,1)-DATE(YEAR(B59),1,1))+(B60-MAX(B59,DATE(YEAR(B60),1,1)))/(DATE(YEAR(B60)+1,1,1)-DATE(YEAR(B60),1,1))),2)</f>
        <v>118.9</v>
      </c>
      <c r="F60" s="26" t="n">
        <f aca="false">ROUND(F59-D60,2)</f>
        <v>8333.15</v>
      </c>
      <c r="G60" s="24" t="s">
        <v>39</v>
      </c>
    </row>
    <row r="61" customFormat="false" ht="15" hidden="false" customHeight="false" outlineLevel="0" collapsed="false">
      <c r="A61" s="24" t="n">
        <f aca="false">A60+1</f>
        <v>56</v>
      </c>
      <c r="B61" s="25" t="n">
        <f aca="false">EOMONTH(B60,1)</f>
        <v>47756</v>
      </c>
      <c r="C61" s="26" t="n">
        <f aca="false">D61+E61</f>
        <v>1762.56</v>
      </c>
      <c r="D61" s="26" t="n">
        <f aca="false">MIN($J$8,F60)</f>
        <v>1666.67</v>
      </c>
      <c r="E61" s="26" t="n">
        <f aca="false">ROUND(F60*$J$6*(MAX(0,DATE(YEAR(B61),1,1)-B60)/(DATE(YEAR(B60)+1,1,1)-DATE(YEAR(B60),1,1))+(B61-MAX(B60,DATE(YEAR(B61),1,1)))/(DATE(YEAR(B61)+1,1,1)-DATE(YEAR(B61),1,1))),2)</f>
        <v>95.89</v>
      </c>
      <c r="F61" s="26" t="n">
        <f aca="false">ROUND(F60-D61,2)</f>
        <v>6666.48</v>
      </c>
      <c r="G61" s="24" t="s">
        <v>39</v>
      </c>
    </row>
    <row r="62" customFormat="false" ht="15" hidden="false" customHeight="false" outlineLevel="0" collapsed="false">
      <c r="A62" s="24" t="n">
        <f aca="false">A61+1</f>
        <v>57</v>
      </c>
      <c r="B62" s="25" t="n">
        <f aca="false">EOMONTH(B61,1)</f>
        <v>47787</v>
      </c>
      <c r="C62" s="26" t="n">
        <f aca="false">D62+E62</f>
        <v>1745.94</v>
      </c>
      <c r="D62" s="26" t="n">
        <f aca="false">MIN($J$8,F61)</f>
        <v>1666.67</v>
      </c>
      <c r="E62" s="26" t="n">
        <f aca="false">ROUND(F61*$J$6*(MAX(0,DATE(YEAR(B62),1,1)-B61)/(DATE(YEAR(B61)+1,1,1)-DATE(YEAR(B61),1,1))+(B62-MAX(B61,DATE(YEAR(B62),1,1)))/(DATE(YEAR(B62)+1,1,1)-DATE(YEAR(B62),1,1))),2)</f>
        <v>79.27</v>
      </c>
      <c r="F62" s="26" t="n">
        <f aca="false">ROUND(F61-D62,2)</f>
        <v>4999.81</v>
      </c>
      <c r="G62" s="24" t="s">
        <v>39</v>
      </c>
    </row>
    <row r="63" customFormat="false" ht="15" hidden="false" customHeight="false" outlineLevel="0" collapsed="false">
      <c r="A63" s="24" t="n">
        <f aca="false">A62+1</f>
        <v>58</v>
      </c>
      <c r="B63" s="25" t="n">
        <f aca="false">EOMONTH(B62,1)</f>
        <v>47817</v>
      </c>
      <c r="C63" s="26" t="n">
        <f aca="false">D63+E63</f>
        <v>1724.2</v>
      </c>
      <c r="D63" s="26" t="n">
        <f aca="false">MIN($J$8,F62)</f>
        <v>1666.67</v>
      </c>
      <c r="E63" s="26" t="n">
        <f aca="false">ROUND(F62*$J$6*(MAX(0,DATE(YEAR(B63),1,1)-B62)/(DATE(YEAR(B62)+1,1,1)-DATE(YEAR(B62),1,1))+(B63-MAX(B62,DATE(YEAR(B63),1,1)))/(DATE(YEAR(B63)+1,1,1)-DATE(YEAR(B63),1,1))),2)</f>
        <v>57.53</v>
      </c>
      <c r="F63" s="26" t="n">
        <f aca="false">ROUND(F62-D63,2)</f>
        <v>3333.14</v>
      </c>
      <c r="G63" s="24" t="s">
        <v>39</v>
      </c>
    </row>
    <row r="64" customFormat="false" ht="15" hidden="false" customHeight="false" outlineLevel="0" collapsed="false">
      <c r="A64" s="24" t="n">
        <f aca="false">A63+1</f>
        <v>59</v>
      </c>
      <c r="B64" s="25" t="n">
        <f aca="false">EOMONTH(B63,1)</f>
        <v>47848</v>
      </c>
      <c r="C64" s="26" t="n">
        <f aca="false">D64+E64</f>
        <v>1706.3</v>
      </c>
      <c r="D64" s="26" t="n">
        <f aca="false">MIN($J$8,F63)</f>
        <v>1666.67</v>
      </c>
      <c r="E64" s="26" t="n">
        <f aca="false">ROUND(F63*$J$6*(MAX(0,DATE(YEAR(B64),1,1)-B63)/(DATE(YEAR(B63)+1,1,1)-DATE(YEAR(B63),1,1))+(B64-MAX(B63,DATE(YEAR(B64),1,1)))/(DATE(YEAR(B64)+1,1,1)-DATE(YEAR(B64),1,1))),2)</f>
        <v>39.63</v>
      </c>
      <c r="F64" s="26" t="n">
        <f aca="false">ROUND(F63-D64,2)</f>
        <v>1666.47</v>
      </c>
      <c r="G64" s="24" t="s">
        <v>39</v>
      </c>
    </row>
    <row r="65" customFormat="false" ht="15" hidden="false" customHeight="false" outlineLevel="0" collapsed="false">
      <c r="A65" s="24" t="n">
        <f aca="false">A64+1</f>
        <v>60</v>
      </c>
      <c r="B65" s="25" t="n">
        <f aca="false">EOMONTH(B64,1)</f>
        <v>47879</v>
      </c>
      <c r="C65" s="26" t="n">
        <f aca="false">D65+E65</f>
        <v>1686.29</v>
      </c>
      <c r="D65" s="26" t="n">
        <f aca="false">MIN($J$8,F64)</f>
        <v>1666.47</v>
      </c>
      <c r="E65" s="26" t="n">
        <f aca="false">ROUND(F64*$J$6*(MAX(0,DATE(YEAR(B65),1,1)-B64)/(DATE(YEAR(B64)+1,1,1)-DATE(YEAR(B64),1,1))+(B65-MAX(B64,DATE(YEAR(B65),1,1)))/(DATE(YEAR(B65)+1,1,1)-DATE(YEAR(B65),1,1))),2)</f>
        <v>19.82</v>
      </c>
      <c r="F65" s="26" t="n">
        <f aca="false">ROUND(F64-D65,2)</f>
        <v>0</v>
      </c>
      <c r="G65" s="24" t="s">
        <v>39</v>
      </c>
    </row>
    <row r="66" customFormat="false" ht="15" hidden="false" customHeight="false" outlineLevel="0" collapsed="false">
      <c r="A66" s="27"/>
      <c r="B66" s="28" t="s">
        <v>40</v>
      </c>
      <c r="C66" s="29" t="n">
        <f aca="false">SUM(C6:C65)</f>
        <v>135533.42</v>
      </c>
      <c r="D66" s="29" t="n">
        <f aca="false">SUM(D6:D65)</f>
        <v>100000</v>
      </c>
      <c r="E66" s="29" t="n">
        <f aca="false">SUM(E6:E65)</f>
        <v>35533.42</v>
      </c>
      <c r="F66" s="27"/>
      <c r="G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9" min="5" style="0" width="13"/>
    <col collapsed="false" customWidth="true" hidden="false" outlineLevel="0" max="10" min="10" style="0" width="3"/>
    <col collapsed="false" customWidth="true" hidden="false" outlineLevel="0" max="11" min="11" style="0" width="38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30" t="s">
        <v>2</v>
      </c>
      <c r="B4" s="30" t="s">
        <v>3</v>
      </c>
      <c r="C4" s="30" t="s">
        <v>43</v>
      </c>
      <c r="D4" s="30" t="s">
        <v>6</v>
      </c>
      <c r="E4" s="30" t="s">
        <v>44</v>
      </c>
      <c r="F4" s="31" t="s">
        <v>45</v>
      </c>
      <c r="G4" s="30" t="s">
        <v>46</v>
      </c>
      <c r="H4" s="30" t="s">
        <v>47</v>
      </c>
      <c r="I4" s="30" t="s">
        <v>26</v>
      </c>
      <c r="K4" s="32" t="s">
        <v>48</v>
      </c>
      <c r="L4" s="5"/>
    </row>
    <row r="5" customFormat="false" ht="15" hidden="false" customHeight="false" outlineLevel="0" collapsed="false">
      <c r="A5" s="33" t="n">
        <f aca="false">Amortización!A5</f>
        <v>0</v>
      </c>
      <c r="B5" s="34" t="n">
        <f aca="false">Amortización!B5</f>
        <v>46053</v>
      </c>
      <c r="C5" s="35"/>
      <c r="D5" s="35"/>
      <c r="E5" s="35"/>
      <c r="F5" s="35"/>
      <c r="G5" s="35"/>
      <c r="H5" s="35"/>
      <c r="I5" s="36" t="n">
        <f aca="false">Amortización!$J$29</f>
        <v>49000</v>
      </c>
      <c r="K5" s="10" t="s">
        <v>49</v>
      </c>
      <c r="L5" s="36" t="n">
        <f aca="false">Amortización!$J$25</f>
        <v>48000</v>
      </c>
    </row>
    <row r="6" customFormat="false" ht="15" hidden="false" customHeight="false" outlineLevel="0" collapsed="false">
      <c r="A6" s="33" t="n">
        <f aca="false">Amortización!A6</f>
        <v>1</v>
      </c>
      <c r="B6" s="34" t="n">
        <f aca="false">Amortización!B6</f>
        <v>46081</v>
      </c>
      <c r="C6" s="17" t="n">
        <f aca="false">I5</f>
        <v>49000</v>
      </c>
      <c r="D6" s="17" t="n">
        <f aca="false">ROUND(C6*Amortización!$J$6*(MAX(0,DATE(YEAR(B6),1,1)-B5)/(DATE(YEAR(B5)+1,1,1)-DATE(YEAR(B5),1,1))+(B6-MAX(B5,DATE(YEAR(B6),1,1)))/(DATE(YEAR(B6)+1,1,1)-DATE(YEAR(B6),1,1))),2)</f>
        <v>526.25</v>
      </c>
      <c r="E6" s="17" t="n">
        <f aca="false">IF(C6&lt;=0,0,MIN(C6,ROUND(Amortización!D6*C6/Amortización!F5,2))+D6)</f>
        <v>1342.92</v>
      </c>
      <c r="F6" s="37" t="n">
        <v>2677.85</v>
      </c>
      <c r="G6" s="17" t="n">
        <f aca="false">IF(F6="",E6,F6)</f>
        <v>2677.85</v>
      </c>
      <c r="H6" s="17" t="n">
        <f aca="false">G6-D6</f>
        <v>2151.6</v>
      </c>
      <c r="I6" s="17" t="n">
        <f aca="false">ROUND(C6-H6,2)</f>
        <v>46848.4</v>
      </c>
      <c r="K6" s="10" t="s">
        <v>50</v>
      </c>
      <c r="L6" s="36" t="n">
        <f aca="false">Amortización!$J$24*Amortización!$J$28</f>
        <v>1000</v>
      </c>
    </row>
    <row r="7" customFormat="false" ht="15" hidden="false" customHeight="false" outlineLevel="0" collapsed="false">
      <c r="A7" s="38" t="n">
        <f aca="false">Amortización!A7</f>
        <v>2</v>
      </c>
      <c r="B7" s="39" t="n">
        <f aca="false">Amortización!B7</f>
        <v>46112</v>
      </c>
      <c r="C7" s="40" t="n">
        <f aca="false">I6</f>
        <v>46848.4</v>
      </c>
      <c r="D7" s="40" t="n">
        <f aca="false">ROUND(C7*Amortización!$J$6*(MAX(0,DATE(YEAR(B7),1,1)-B6)/(DATE(YEAR(B6)+1,1,1)-DATE(YEAR(B6),1,1))+(B7-MAX(B6,DATE(YEAR(B7),1,1)))/(DATE(YEAR(B7)+1,1,1)-DATE(YEAR(B7),1,1))),2)</f>
        <v>557.05</v>
      </c>
      <c r="E7" s="40" t="n">
        <f aca="false">IF(C7&lt;=0,0,MIN(C7,ROUND(Amortización!D7*C7/Amortización!F6,2))+D7)</f>
        <v>1351.09</v>
      </c>
      <c r="F7" s="37" t="n">
        <v>2653.08</v>
      </c>
      <c r="G7" s="40" t="n">
        <f aca="false">IF(F7="",E7,F7)</f>
        <v>2653.08</v>
      </c>
      <c r="H7" s="40" t="n">
        <f aca="false">G7-D7</f>
        <v>2096.03</v>
      </c>
      <c r="I7" s="40" t="n">
        <f aca="false">ROUND(C7-H7,2)</f>
        <v>44752.37</v>
      </c>
      <c r="K7" s="10" t="s">
        <v>51</v>
      </c>
      <c r="L7" s="17" t="n">
        <f aca="false">I5</f>
        <v>49000</v>
      </c>
    </row>
    <row r="8" customFormat="false" ht="15" hidden="false" customHeight="false" outlineLevel="0" collapsed="false">
      <c r="A8" s="33" t="n">
        <f aca="false">Amortización!A8</f>
        <v>3</v>
      </c>
      <c r="B8" s="34" t="n">
        <f aca="false">Amortización!B8</f>
        <v>46142</v>
      </c>
      <c r="C8" s="17" t="n">
        <f aca="false">I7</f>
        <v>44752.37</v>
      </c>
      <c r="D8" s="17" t="n">
        <f aca="false">ROUND(C8*Amortización!$J$6*(MAX(0,DATE(YEAR(B8),1,1)-B7)/(DATE(YEAR(B7)+1,1,1)-DATE(YEAR(B7),1,1))+(B8-MAX(B7,DATE(YEAR(B8),1,1)))/(DATE(YEAR(B8)+1,1,1)-DATE(YEAR(B8),1,1))),2)</f>
        <v>514.96</v>
      </c>
      <c r="E8" s="17" t="n">
        <f aca="false">IF(C8&lt;=0,0,MIN(C8,ROUND(Amortización!D8*C8/Amortización!F7,2))+D8)</f>
        <v>1286.55</v>
      </c>
      <c r="F8" s="37" t="n">
        <v>2628.31</v>
      </c>
      <c r="G8" s="17" t="n">
        <f aca="false">IF(F8="",E8,F8)</f>
        <v>2628.31</v>
      </c>
      <c r="H8" s="17" t="n">
        <f aca="false">G8-D8</f>
        <v>2113.35</v>
      </c>
      <c r="I8" s="17" t="n">
        <f aca="false">ROUND(C8-H8,2)</f>
        <v>42639.02</v>
      </c>
    </row>
    <row r="9" customFormat="false" ht="15" hidden="false" customHeight="false" outlineLevel="0" collapsed="false">
      <c r="A9" s="38" t="n">
        <f aca="false">Amortización!A9</f>
        <v>4</v>
      </c>
      <c r="B9" s="39" t="n">
        <f aca="false">Amortización!B9</f>
        <v>46173</v>
      </c>
      <c r="C9" s="40" t="n">
        <f aca="false">I8</f>
        <v>42639.02</v>
      </c>
      <c r="D9" s="40" t="n">
        <f aca="false">ROUND(C9*Amortización!$J$6*(MAX(0,DATE(YEAR(B9),1,1)-B8)/(DATE(YEAR(B8)+1,1,1)-DATE(YEAR(B8),1,1))+(B9-MAX(B8,DATE(YEAR(B9),1,1)))/(DATE(YEAR(B9)+1,1,1)-DATE(YEAR(B9),1,1))),2)</f>
        <v>507</v>
      </c>
      <c r="E9" s="40" t="n">
        <f aca="false">IF(C9&lt;=0,0,MIN(C9,ROUND(Amortización!D9*C9/Amortización!F8,2))+D9)</f>
        <v>1255.05</v>
      </c>
      <c r="F9" s="37" t="n">
        <v>2603.54</v>
      </c>
      <c r="G9" s="40" t="n">
        <f aca="false">IF(F9="",E9,F9)</f>
        <v>2603.54</v>
      </c>
      <c r="H9" s="40" t="n">
        <f aca="false">G9-D9</f>
        <v>2096.54</v>
      </c>
      <c r="I9" s="40" t="n">
        <f aca="false">ROUND(C9-H9,2)</f>
        <v>40542.48</v>
      </c>
      <c r="K9" s="32" t="s">
        <v>52</v>
      </c>
      <c r="L9" s="5"/>
    </row>
    <row r="10" customFormat="false" ht="15" hidden="false" customHeight="false" outlineLevel="0" collapsed="false">
      <c r="A10" s="33" t="n">
        <f aca="false">Amortización!A10</f>
        <v>5</v>
      </c>
      <c r="B10" s="34" t="n">
        <f aca="false">Amortización!B10</f>
        <v>46203</v>
      </c>
      <c r="C10" s="17" t="n">
        <f aca="false">I9</f>
        <v>40542.48</v>
      </c>
      <c r="D10" s="17" t="n">
        <f aca="false">ROUND(C10*Amortización!$J$6*(MAX(0,DATE(YEAR(B10),1,1)-B9)/(DATE(YEAR(B9)+1,1,1)-DATE(YEAR(B9),1,1))+(B10-MAX(B9,DATE(YEAR(B10),1,1)))/(DATE(YEAR(B10)+1,1,1)-DATE(YEAR(B10),1,1))),2)</f>
        <v>466.52</v>
      </c>
      <c r="E10" s="17" t="n">
        <f aca="false">IF(C10&lt;=0,0,MIN(C10,ROUND(Amortización!D10*C10/Amortización!F9,2))+D10)</f>
        <v>1190.49</v>
      </c>
      <c r="F10" s="37" t="n">
        <v>2578.76</v>
      </c>
      <c r="G10" s="17" t="n">
        <f aca="false">IF(F10="",E10,F10)</f>
        <v>2578.76</v>
      </c>
      <c r="H10" s="17" t="n">
        <f aca="false">G10-D10</f>
        <v>2112.24</v>
      </c>
      <c r="I10" s="17" t="n">
        <f aca="false">ROUND(C10-H10,2)</f>
        <v>38430.24</v>
      </c>
      <c r="K10" s="10" t="s">
        <v>53</v>
      </c>
      <c r="L10" s="41" t="n">
        <f aca="false">COUNT(F6:F65)</f>
        <v>8</v>
      </c>
    </row>
    <row r="11" customFormat="false" ht="15" hidden="false" customHeight="false" outlineLevel="0" collapsed="false">
      <c r="A11" s="38" t="n">
        <f aca="false">Amortización!A11</f>
        <v>6</v>
      </c>
      <c r="B11" s="39" t="n">
        <f aca="false">Amortización!B11</f>
        <v>46234</v>
      </c>
      <c r="C11" s="40" t="n">
        <f aca="false">I10</f>
        <v>38430.24</v>
      </c>
      <c r="D11" s="40" t="n">
        <f aca="false">ROUND(C11*Amortización!$J$6*(MAX(0,DATE(YEAR(B11),1,1)-B10)/(DATE(YEAR(B10)+1,1,1)-DATE(YEAR(B10),1,1))+(B11-MAX(B10,DATE(YEAR(B11),1,1)))/(DATE(YEAR(B11)+1,1,1)-DATE(YEAR(B11),1,1))),2)</f>
        <v>456.95</v>
      </c>
      <c r="E11" s="40" t="n">
        <f aca="false">IF(C11&lt;=0,0,MIN(C11,ROUND(Amortización!D11*C11/Amortización!F10,2))+D11)</f>
        <v>1155.68</v>
      </c>
      <c r="F11" s="37" t="n">
        <v>2553.99</v>
      </c>
      <c r="G11" s="40" t="n">
        <f aca="false">IF(F11="",E11,F11)</f>
        <v>2553.99</v>
      </c>
      <c r="H11" s="40" t="n">
        <f aca="false">G11-D11</f>
        <v>2097.04</v>
      </c>
      <c r="I11" s="40" t="n">
        <f aca="false">ROUND(C11-H11,2)</f>
        <v>36333.2</v>
      </c>
      <c r="K11" s="10" t="s">
        <v>54</v>
      </c>
      <c r="L11" s="17" t="n">
        <f aca="false">SUM(F6:F65)</f>
        <v>20729.2</v>
      </c>
    </row>
    <row r="12" customFormat="false" ht="15" hidden="false" customHeight="false" outlineLevel="0" collapsed="false">
      <c r="A12" s="33" t="n">
        <f aca="false">Amortización!A12</f>
        <v>7</v>
      </c>
      <c r="B12" s="34" t="n">
        <f aca="false">Amortización!B12</f>
        <v>46265</v>
      </c>
      <c r="C12" s="17" t="n">
        <f aca="false">I11</f>
        <v>36333.2</v>
      </c>
      <c r="D12" s="17" t="n">
        <f aca="false">ROUND(C12*Amortización!$J$6*(MAX(0,DATE(YEAR(B12),1,1)-B11)/(DATE(YEAR(B11)+1,1,1)-DATE(YEAR(B11),1,1))+(B12-MAX(B11,DATE(YEAR(B12),1,1)))/(DATE(YEAR(B12)+1,1,1)-DATE(YEAR(B12),1,1))),2)</f>
        <v>432.02</v>
      </c>
      <c r="E12" s="17" t="n">
        <f aca="false">IF(C12&lt;=0,0,MIN(C12,ROUND(Amortización!D12*C12/Amortización!F11,2))+D12)</f>
        <v>1104.86</v>
      </c>
      <c r="F12" s="37" t="n">
        <v>2529.22</v>
      </c>
      <c r="G12" s="17" t="n">
        <f aca="false">IF(F12="",E12,F12)</f>
        <v>2529.22</v>
      </c>
      <c r="H12" s="17" t="n">
        <f aca="false">G12-D12</f>
        <v>2097.2</v>
      </c>
      <c r="I12" s="17" t="n">
        <f aca="false">ROUND(C12-H12,2)</f>
        <v>34236</v>
      </c>
      <c r="K12" s="10" t="s">
        <v>55</v>
      </c>
      <c r="L12" s="17" t="n">
        <f aca="false">SUMPRODUCT((F6:F65&lt;&gt;"")*D6:D65)</f>
        <v>3854.7</v>
      </c>
    </row>
    <row r="13" customFormat="false" ht="15" hidden="false" customHeight="false" outlineLevel="0" collapsed="false">
      <c r="A13" s="38" t="n">
        <f aca="false">Amortización!A13</f>
        <v>8</v>
      </c>
      <c r="B13" s="39" t="n">
        <f aca="false">Amortización!B13</f>
        <v>46295</v>
      </c>
      <c r="C13" s="40" t="n">
        <f aca="false">I12</f>
        <v>34236</v>
      </c>
      <c r="D13" s="40" t="n">
        <f aca="false">ROUND(C13*Amortización!$J$6*(MAX(0,DATE(YEAR(B13),1,1)-B12)/(DATE(YEAR(B12)+1,1,1)-DATE(YEAR(B12),1,1))+(B13-MAX(B12,DATE(YEAR(B13),1,1)))/(DATE(YEAR(B13)+1,1,1)-DATE(YEAR(B13),1,1))),2)</f>
        <v>393.95</v>
      </c>
      <c r="E13" s="40" t="n">
        <f aca="false">IF(C13&lt;=0,0,MIN(C13,ROUND(Amortización!D13*C13/Amortización!F12,2))+D13)</f>
        <v>1039.91</v>
      </c>
      <c r="F13" s="37" t="n">
        <v>2504.45</v>
      </c>
      <c r="G13" s="40" t="n">
        <f aca="false">IF(F13="",E13,F13)</f>
        <v>2504.45</v>
      </c>
      <c r="H13" s="40" t="n">
        <f aca="false">G13-D13</f>
        <v>2110.5</v>
      </c>
      <c r="I13" s="40" t="n">
        <f aca="false">ROUND(C13-H13,2)</f>
        <v>32125.5</v>
      </c>
      <c r="K13" s="10" t="s">
        <v>47</v>
      </c>
      <c r="L13" s="17" t="n">
        <f aca="false">SUMPRODUCT((F6:F65&lt;&gt;"")*H6:H65)</f>
        <v>16874.5</v>
      </c>
    </row>
    <row r="14" customFormat="false" ht="15" hidden="false" customHeight="false" outlineLevel="0" collapsed="false">
      <c r="A14" s="33" t="n">
        <f aca="false">Amortización!A14</f>
        <v>9</v>
      </c>
      <c r="B14" s="34" t="n">
        <f aca="false">Amortización!B14</f>
        <v>46326</v>
      </c>
      <c r="C14" s="17" t="n">
        <f aca="false">I13</f>
        <v>32125.5</v>
      </c>
      <c r="D14" s="17" t="n">
        <f aca="false">ROUND(C14*Amortización!$J$6*(MAX(0,DATE(YEAR(B14),1,1)-B13)/(DATE(YEAR(B13)+1,1,1)-DATE(YEAR(B13),1,1))+(B14-MAX(B13,DATE(YEAR(B14),1,1)))/(DATE(YEAR(B14)+1,1,1)-DATE(YEAR(B14),1,1))),2)</f>
        <v>381.99</v>
      </c>
      <c r="E14" s="17" t="n">
        <f aca="false">IF(C14&lt;=0,0,MIN(C14,ROUND(Amortización!D14*C14/Amortización!F13,2))+D14)</f>
        <v>999.79</v>
      </c>
      <c r="F14" s="37"/>
      <c r="G14" s="17" t="n">
        <f aca="false">IF(F14="",E14,F14)</f>
        <v>999.79</v>
      </c>
      <c r="H14" s="17" t="n">
        <f aca="false">G14-D14</f>
        <v>617.8</v>
      </c>
      <c r="I14" s="17" t="n">
        <f aca="false">ROUND(C14-H14,2)</f>
        <v>31507.7</v>
      </c>
      <c r="K14" s="10" t="s">
        <v>56</v>
      </c>
      <c r="L14" s="42" t="n">
        <f aca="false">INDEX(I5:I65,L10+1)</f>
        <v>32125.5</v>
      </c>
    </row>
    <row r="15" customFormat="false" ht="15" hidden="false" customHeight="false" outlineLevel="0" collapsed="false">
      <c r="A15" s="38" t="n">
        <f aca="false">Amortización!A15</f>
        <v>10</v>
      </c>
      <c r="B15" s="39" t="n">
        <f aca="false">Amortización!B15</f>
        <v>46356</v>
      </c>
      <c r="C15" s="40" t="n">
        <f aca="false">I14</f>
        <v>31507.7</v>
      </c>
      <c r="D15" s="40" t="n">
        <f aca="false">ROUND(C15*Amortización!$J$6*(MAX(0,DATE(YEAR(B15),1,1)-B14)/(DATE(YEAR(B14)+1,1,1)-DATE(YEAR(B14),1,1))+(B15-MAX(B14,DATE(YEAR(B15),1,1)))/(DATE(YEAR(B15)+1,1,1)-DATE(YEAR(B15),1,1))),2)</f>
        <v>362.55</v>
      </c>
      <c r="E15" s="40" t="n">
        <f aca="false">IF(C15&lt;=0,0,MIN(C15,ROUND(Amortización!D15*C15/Amortización!F14,2))+D15)</f>
        <v>980.35</v>
      </c>
      <c r="F15" s="37"/>
      <c r="G15" s="40" t="n">
        <f aca="false">IF(F15="",E15,F15)</f>
        <v>980.35</v>
      </c>
      <c r="H15" s="40" t="n">
        <f aca="false">G15-D15</f>
        <v>617.8</v>
      </c>
      <c r="I15" s="40" t="n">
        <f aca="false">ROUND(C15-H15,2)</f>
        <v>30889.9</v>
      </c>
    </row>
    <row r="16" customFormat="false" ht="15" hidden="false" customHeight="false" outlineLevel="0" collapsed="false">
      <c r="A16" s="33" t="n">
        <f aca="false">Amortización!A16</f>
        <v>11</v>
      </c>
      <c r="B16" s="34" t="n">
        <f aca="false">Amortización!B16</f>
        <v>46387</v>
      </c>
      <c r="C16" s="17" t="n">
        <f aca="false">I15</f>
        <v>30889.9</v>
      </c>
      <c r="D16" s="17" t="n">
        <f aca="false">ROUND(C16*Amortización!$J$6*(MAX(0,DATE(YEAR(B16),1,1)-B15)/(DATE(YEAR(B15)+1,1,1)-DATE(YEAR(B15),1,1))+(B16-MAX(B15,DATE(YEAR(B16),1,1)))/(DATE(YEAR(B16)+1,1,1)-DATE(YEAR(B16),1,1))),2)</f>
        <v>367.29</v>
      </c>
      <c r="E16" s="17" t="n">
        <f aca="false">IF(C16&lt;=0,0,MIN(C16,ROUND(Amortización!D16*C16/Amortización!F15,2))+D16)</f>
        <v>985.09</v>
      </c>
      <c r="F16" s="37"/>
      <c r="G16" s="17" t="n">
        <f aca="false">IF(F16="",E16,F16)</f>
        <v>985.09</v>
      </c>
      <c r="H16" s="17" t="n">
        <f aca="false">G16-D16</f>
        <v>617.8</v>
      </c>
      <c r="I16" s="17" t="n">
        <f aca="false">ROUND(C16-H16,2)</f>
        <v>30272.1</v>
      </c>
      <c r="K16" s="32" t="s">
        <v>57</v>
      </c>
      <c r="L16" s="5"/>
    </row>
    <row r="17" customFormat="false" ht="15" hidden="false" customHeight="false" outlineLevel="0" collapsed="false">
      <c r="A17" s="38" t="n">
        <f aca="false">Amortización!A17</f>
        <v>12</v>
      </c>
      <c r="B17" s="39" t="n">
        <f aca="false">Amortización!B17</f>
        <v>46418</v>
      </c>
      <c r="C17" s="40" t="n">
        <f aca="false">I16</f>
        <v>30272.1</v>
      </c>
      <c r="D17" s="40" t="n">
        <f aca="false">ROUND(C17*Amortización!$J$6*(MAX(0,DATE(YEAR(B17),1,1)-B16)/(DATE(YEAR(B16)+1,1,1)-DATE(YEAR(B16),1,1))+(B17-MAX(B16,DATE(YEAR(B17),1,1)))/(DATE(YEAR(B17)+1,1,1)-DATE(YEAR(B17),1,1))),2)</f>
        <v>359.95</v>
      </c>
      <c r="E17" s="40" t="n">
        <f aca="false">IF(C17&lt;=0,0,MIN(C17,ROUND(Amortización!D17*C17/Amortización!F16,2))+D17)</f>
        <v>977.75</v>
      </c>
      <c r="F17" s="37"/>
      <c r="G17" s="40" t="n">
        <f aca="false">IF(F17="",E17,F17)</f>
        <v>977.75</v>
      </c>
      <c r="H17" s="40" t="n">
        <f aca="false">G17-D17</f>
        <v>617.8</v>
      </c>
      <c r="I17" s="40" t="n">
        <f aca="false">ROUND(C17-H17,2)</f>
        <v>29654.3</v>
      </c>
      <c r="K17" s="10" t="s">
        <v>3</v>
      </c>
      <c r="L17" s="22" t="n">
        <f aca="false">IF(L10&gt;=60,"",INDEX(B6:B65,L10+1))</f>
        <v>46326</v>
      </c>
    </row>
    <row r="18" customFormat="false" ht="15" hidden="false" customHeight="false" outlineLevel="0" collapsed="false">
      <c r="A18" s="33" t="n">
        <f aca="false">Amortización!A18</f>
        <v>13</v>
      </c>
      <c r="B18" s="34" t="n">
        <f aca="false">Amortización!B18</f>
        <v>46446</v>
      </c>
      <c r="C18" s="17" t="n">
        <f aca="false">I17</f>
        <v>29654.3</v>
      </c>
      <c r="D18" s="17" t="n">
        <f aca="false">ROUND(C18*Amortización!$J$6*(MAX(0,DATE(YEAR(B18),1,1)-B17)/(DATE(YEAR(B17)+1,1,1)-DATE(YEAR(B17),1,1))+(B18-MAX(B17,DATE(YEAR(B18),1,1)))/(DATE(YEAR(B18)+1,1,1)-DATE(YEAR(B18),1,1))),2)</f>
        <v>318.48</v>
      </c>
      <c r="E18" s="17" t="n">
        <f aca="false">IF(C18&lt;=0,0,MIN(C18,ROUND(Amortización!D18*C18/Amortización!F17,2))+D18)</f>
        <v>936.28</v>
      </c>
      <c r="F18" s="37"/>
      <c r="G18" s="17" t="n">
        <f aca="false">IF(F18="",E18,F18)</f>
        <v>936.28</v>
      </c>
      <c r="H18" s="17" t="n">
        <f aca="false">G18-D18</f>
        <v>617.8</v>
      </c>
      <c r="I18" s="17" t="n">
        <f aca="false">ROUND(C18-H18,2)</f>
        <v>29036.5</v>
      </c>
      <c r="K18" s="10" t="s">
        <v>44</v>
      </c>
      <c r="L18" s="42" t="n">
        <f aca="false">IF(L10&gt;=60,"",INDEX(E6:E65,L10+1))</f>
        <v>999.79</v>
      </c>
    </row>
    <row r="19" customFormat="false" ht="15" hidden="false" customHeight="false" outlineLevel="0" collapsed="false">
      <c r="A19" s="38" t="n">
        <f aca="false">Amortización!A19</f>
        <v>14</v>
      </c>
      <c r="B19" s="39" t="n">
        <f aca="false">Amortización!B19</f>
        <v>46477</v>
      </c>
      <c r="C19" s="40" t="n">
        <f aca="false">I18</f>
        <v>29036.5</v>
      </c>
      <c r="D19" s="40" t="n">
        <f aca="false">ROUND(C19*Amortización!$J$6*(MAX(0,DATE(YEAR(B19),1,1)-B18)/(DATE(YEAR(B18)+1,1,1)-DATE(YEAR(B18),1,1))+(B19-MAX(B18,DATE(YEAR(B19),1,1)))/(DATE(YEAR(B19)+1,1,1)-DATE(YEAR(B19),1,1))),2)</f>
        <v>345.26</v>
      </c>
      <c r="E19" s="40" t="n">
        <f aca="false">IF(C19&lt;=0,0,MIN(C19,ROUND(Amortización!D19*C19/Amortización!F18,2))+D19)</f>
        <v>963.06</v>
      </c>
      <c r="F19" s="37"/>
      <c r="G19" s="40" t="n">
        <f aca="false">IF(F19="",E19,F19)</f>
        <v>963.06</v>
      </c>
      <c r="H19" s="40" t="n">
        <f aca="false">G19-D19</f>
        <v>617.8</v>
      </c>
      <c r="I19" s="40" t="n">
        <f aca="false">ROUND(C19-H19,2)</f>
        <v>28418.7</v>
      </c>
      <c r="K19" s="10" t="s">
        <v>58</v>
      </c>
      <c r="L19" s="43" t="n">
        <f aca="false">IF(L10&gt;=60,"",INDEX(C6:C65,L10+1)+INDEX(D6:D65,L10+1))</f>
        <v>32507.49</v>
      </c>
    </row>
    <row r="20" customFormat="false" ht="15" hidden="false" customHeight="false" outlineLevel="0" collapsed="false">
      <c r="A20" s="33" t="n">
        <f aca="false">Amortización!A20</f>
        <v>15</v>
      </c>
      <c r="B20" s="34" t="n">
        <f aca="false">Amortización!B20</f>
        <v>46507</v>
      </c>
      <c r="C20" s="17" t="n">
        <f aca="false">I19</f>
        <v>28418.7</v>
      </c>
      <c r="D20" s="17" t="n">
        <f aca="false">ROUND(C20*Amortización!$J$6*(MAX(0,DATE(YEAR(B20),1,1)-B19)/(DATE(YEAR(B19)+1,1,1)-DATE(YEAR(B19),1,1))+(B20-MAX(B19,DATE(YEAR(B20),1,1)))/(DATE(YEAR(B20)+1,1,1)-DATE(YEAR(B20),1,1))),2)</f>
        <v>327.01</v>
      </c>
      <c r="E20" s="17" t="n">
        <f aca="false">IF(C20&lt;=0,0,MIN(C20,ROUND(Amortización!D20*C20/Amortización!F19,2))+D20)</f>
        <v>944.81</v>
      </c>
      <c r="F20" s="37"/>
      <c r="G20" s="17" t="n">
        <f aca="false">IF(F20="",E20,F20)</f>
        <v>944.81</v>
      </c>
      <c r="H20" s="17" t="n">
        <f aca="false">G20-D20</f>
        <v>617.8</v>
      </c>
      <c r="I20" s="17" t="n">
        <f aca="false">ROUND(C20-H20,2)</f>
        <v>27800.9</v>
      </c>
    </row>
    <row r="21" customFormat="false" ht="15" hidden="false" customHeight="false" outlineLevel="0" collapsed="false">
      <c r="A21" s="38" t="n">
        <f aca="false">Amortización!A21</f>
        <v>16</v>
      </c>
      <c r="B21" s="39" t="n">
        <f aca="false">Amortización!B21</f>
        <v>46538</v>
      </c>
      <c r="C21" s="40" t="n">
        <f aca="false">I20</f>
        <v>27800.9</v>
      </c>
      <c r="D21" s="40" t="n">
        <f aca="false">ROUND(C21*Amortización!$J$6*(MAX(0,DATE(YEAR(B21),1,1)-B20)/(DATE(YEAR(B20)+1,1,1)-DATE(YEAR(B20),1,1))+(B21-MAX(B20,DATE(YEAR(B21),1,1)))/(DATE(YEAR(B21)+1,1,1)-DATE(YEAR(B21),1,1))),2)</f>
        <v>330.56</v>
      </c>
      <c r="E21" s="40" t="n">
        <f aca="false">IF(C21&lt;=0,0,MIN(C21,ROUND(Amortización!D21*C21/Amortización!F20,2))+D21)</f>
        <v>948.36</v>
      </c>
      <c r="F21" s="37"/>
      <c r="G21" s="40" t="n">
        <f aca="false">IF(F21="",E21,F21)</f>
        <v>948.36</v>
      </c>
      <c r="H21" s="40" t="n">
        <f aca="false">G21-D21</f>
        <v>617.8</v>
      </c>
      <c r="I21" s="40" t="n">
        <f aca="false">ROUND(C21-H21,2)</f>
        <v>27183.1</v>
      </c>
      <c r="K21" s="32" t="s">
        <v>59</v>
      </c>
      <c r="L21" s="5"/>
    </row>
    <row r="22" customFormat="false" ht="15" hidden="false" customHeight="false" outlineLevel="0" collapsed="false">
      <c r="A22" s="33" t="n">
        <f aca="false">Amortización!A22</f>
        <v>17</v>
      </c>
      <c r="B22" s="34" t="n">
        <f aca="false">Amortización!B22</f>
        <v>46568</v>
      </c>
      <c r="C22" s="17" t="n">
        <f aca="false">I21</f>
        <v>27183.1</v>
      </c>
      <c r="D22" s="17" t="n">
        <f aca="false">ROUND(C22*Amortización!$J$6*(MAX(0,DATE(YEAR(B22),1,1)-B21)/(DATE(YEAR(B21)+1,1,1)-DATE(YEAR(B21),1,1))+(B22-MAX(B21,DATE(YEAR(B22),1,1)))/(DATE(YEAR(B22)+1,1,1)-DATE(YEAR(B22),1,1))),2)</f>
        <v>312.79</v>
      </c>
      <c r="E22" s="17" t="n">
        <f aca="false">IF(C22&lt;=0,0,MIN(C22,ROUND(Amortización!D22*C22/Amortización!F21,2))+D22)</f>
        <v>930.59</v>
      </c>
      <c r="F22" s="37"/>
      <c r="G22" s="17" t="n">
        <f aca="false">IF(F22="",E22,F22)</f>
        <v>930.59</v>
      </c>
      <c r="H22" s="17" t="n">
        <f aca="false">G22-D22</f>
        <v>617.8</v>
      </c>
      <c r="I22" s="17" t="n">
        <f aca="false">ROUND(C22-H22,2)</f>
        <v>26565.3</v>
      </c>
      <c r="K22" s="10" t="s">
        <v>22</v>
      </c>
      <c r="L22" s="17" t="n">
        <f aca="false">D66</f>
        <v>13788.04</v>
      </c>
    </row>
    <row r="23" customFormat="false" ht="15" hidden="false" customHeight="false" outlineLevel="0" collapsed="false">
      <c r="A23" s="38" t="n">
        <f aca="false">Amortización!A23</f>
        <v>18</v>
      </c>
      <c r="B23" s="39" t="n">
        <f aca="false">Amortización!B23</f>
        <v>46599</v>
      </c>
      <c r="C23" s="40" t="n">
        <f aca="false">I22</f>
        <v>26565.3</v>
      </c>
      <c r="D23" s="40" t="n">
        <f aca="false">ROUND(C23*Amortización!$J$6*(MAX(0,DATE(YEAR(B23),1,1)-B22)/(DATE(YEAR(B22)+1,1,1)-DATE(YEAR(B22),1,1))+(B23-MAX(B22,DATE(YEAR(B23),1,1)))/(DATE(YEAR(B23)+1,1,1)-DATE(YEAR(B23),1,1))),2)</f>
        <v>315.87</v>
      </c>
      <c r="E23" s="40" t="n">
        <f aca="false">IF(C23&lt;=0,0,MIN(C23,ROUND(Amortización!D23*C23/Amortización!F22,2))+D23)</f>
        <v>933.67</v>
      </c>
      <c r="F23" s="37"/>
      <c r="G23" s="40" t="n">
        <f aca="false">IF(F23="",E23,F23)</f>
        <v>933.67</v>
      </c>
      <c r="H23" s="40" t="n">
        <f aca="false">G23-D23</f>
        <v>617.8</v>
      </c>
      <c r="I23" s="40" t="n">
        <f aca="false">ROUND(C23-H23,2)</f>
        <v>25947.5</v>
      </c>
      <c r="K23" s="10" t="s">
        <v>60</v>
      </c>
      <c r="L23" s="17" t="n">
        <f aca="false">G66</f>
        <v>62788.04</v>
      </c>
    </row>
    <row r="24" customFormat="false" ht="15" hidden="false" customHeight="false" outlineLevel="0" collapsed="false">
      <c r="A24" s="33" t="n">
        <f aca="false">Amortización!A24</f>
        <v>19</v>
      </c>
      <c r="B24" s="34" t="n">
        <f aca="false">Amortización!B24</f>
        <v>46630</v>
      </c>
      <c r="C24" s="17" t="n">
        <f aca="false">I23</f>
        <v>25947.5</v>
      </c>
      <c r="D24" s="17" t="n">
        <f aca="false">ROUND(C24*Amortización!$J$6*(MAX(0,DATE(YEAR(B24),1,1)-B23)/(DATE(YEAR(B23)+1,1,1)-DATE(YEAR(B23),1,1))+(B24-MAX(B23,DATE(YEAR(B24),1,1)))/(DATE(YEAR(B24)+1,1,1)-DATE(YEAR(B24),1,1))),2)</f>
        <v>308.53</v>
      </c>
      <c r="E24" s="17" t="n">
        <f aca="false">IF(C24&lt;=0,0,MIN(C24,ROUND(Amortización!D24*C24/Amortización!F23,2))+D24)</f>
        <v>926.33</v>
      </c>
      <c r="F24" s="37"/>
      <c r="G24" s="17" t="n">
        <f aca="false">IF(F24="",E24,F24)</f>
        <v>926.33</v>
      </c>
      <c r="H24" s="17" t="n">
        <f aca="false">G24-D24</f>
        <v>617.8</v>
      </c>
      <c r="I24" s="17" t="n">
        <f aca="false">ROUND(C24-H24,2)</f>
        <v>25329.7</v>
      </c>
      <c r="K24" s="10" t="s">
        <v>61</v>
      </c>
      <c r="L24" s="22" t="n">
        <f aca="false">INDEX(B6:B65,MAX(1,COUNTIF(C6:C65,"&gt;0.005")))</f>
        <v>47879</v>
      </c>
    </row>
    <row r="25" customFormat="false" ht="15" hidden="false" customHeight="false" outlineLevel="0" collapsed="false">
      <c r="A25" s="38" t="n">
        <f aca="false">Amortización!A25</f>
        <v>20</v>
      </c>
      <c r="B25" s="39" t="n">
        <f aca="false">Amortización!B25</f>
        <v>46660</v>
      </c>
      <c r="C25" s="40" t="n">
        <f aca="false">I24</f>
        <v>25329.7</v>
      </c>
      <c r="D25" s="40" t="n">
        <f aca="false">ROUND(C25*Amortización!$J$6*(MAX(0,DATE(YEAR(B25),1,1)-B24)/(DATE(YEAR(B24)+1,1,1)-DATE(YEAR(B24),1,1))+(B25-MAX(B24,DATE(YEAR(B25),1,1)))/(DATE(YEAR(B25)+1,1,1)-DATE(YEAR(B25),1,1))),2)</f>
        <v>291.47</v>
      </c>
      <c r="E25" s="40" t="n">
        <f aca="false">IF(C25&lt;=0,0,MIN(C25,ROUND(Amortización!D25*C25/Amortización!F24,2))+D25)</f>
        <v>909.27</v>
      </c>
      <c r="F25" s="37"/>
      <c r="G25" s="40" t="n">
        <f aca="false">IF(F25="",E25,F25)</f>
        <v>909.27</v>
      </c>
      <c r="H25" s="40" t="n">
        <f aca="false">G25-D25</f>
        <v>617.8</v>
      </c>
      <c r="I25" s="40" t="n">
        <f aca="false">ROUND(C25-H25,2)</f>
        <v>24711.9</v>
      </c>
    </row>
    <row r="26" customFormat="false" ht="15" hidden="false" customHeight="false" outlineLevel="0" collapsed="false">
      <c r="A26" s="33" t="n">
        <f aca="false">Amortización!A26</f>
        <v>21</v>
      </c>
      <c r="B26" s="34" t="n">
        <f aca="false">Amortización!B26</f>
        <v>46691</v>
      </c>
      <c r="C26" s="17" t="n">
        <f aca="false">I25</f>
        <v>24711.9</v>
      </c>
      <c r="D26" s="17" t="n">
        <f aca="false">ROUND(C26*Amortización!$J$6*(MAX(0,DATE(YEAR(B26),1,1)-B25)/(DATE(YEAR(B25)+1,1,1)-DATE(YEAR(B25),1,1))+(B26-MAX(B25,DATE(YEAR(B26),1,1)))/(DATE(YEAR(B26)+1,1,1)-DATE(YEAR(B26),1,1))),2)</f>
        <v>293.83</v>
      </c>
      <c r="E26" s="17" t="n">
        <f aca="false">IF(C26&lt;=0,0,MIN(C26,ROUND(Amortización!D26*C26/Amortización!F25,2))+D26)</f>
        <v>911.63</v>
      </c>
      <c r="F26" s="37"/>
      <c r="G26" s="17" t="n">
        <f aca="false">IF(F26="",E26,F26)</f>
        <v>911.63</v>
      </c>
      <c r="H26" s="17" t="n">
        <f aca="false">G26-D26</f>
        <v>617.8</v>
      </c>
      <c r="I26" s="17" t="n">
        <f aca="false">ROUND(C26-H26,2)</f>
        <v>24094.1</v>
      </c>
    </row>
    <row r="27" customFormat="false" ht="15" hidden="false" customHeight="false" outlineLevel="0" collapsed="false">
      <c r="A27" s="38" t="n">
        <f aca="false">Amortización!A27</f>
        <v>22</v>
      </c>
      <c r="B27" s="39" t="n">
        <f aca="false">Amortización!B27</f>
        <v>46721</v>
      </c>
      <c r="C27" s="40" t="n">
        <f aca="false">I26</f>
        <v>24094.1</v>
      </c>
      <c r="D27" s="40" t="n">
        <f aca="false">ROUND(C27*Amortización!$J$6*(MAX(0,DATE(YEAR(B27),1,1)-B26)/(DATE(YEAR(B26)+1,1,1)-DATE(YEAR(B26),1,1))+(B27-MAX(B26,DATE(YEAR(B27),1,1)))/(DATE(YEAR(B27)+1,1,1)-DATE(YEAR(B27),1,1))),2)</f>
        <v>277.25</v>
      </c>
      <c r="E27" s="40" t="n">
        <f aca="false">IF(C27&lt;=0,0,MIN(C27,ROUND(Amortización!D27*C27/Amortización!F26,2))+D27)</f>
        <v>895.05</v>
      </c>
      <c r="F27" s="37"/>
      <c r="G27" s="40" t="n">
        <f aca="false">IF(F27="",E27,F27)</f>
        <v>895.05</v>
      </c>
      <c r="H27" s="40" t="n">
        <f aca="false">G27-D27</f>
        <v>617.8</v>
      </c>
      <c r="I27" s="40" t="n">
        <f aca="false">ROUND(C27-H27,2)</f>
        <v>23476.3</v>
      </c>
    </row>
    <row r="28" customFormat="false" ht="15" hidden="false" customHeight="false" outlineLevel="0" collapsed="false">
      <c r="A28" s="33" t="n">
        <f aca="false">Amortización!A28</f>
        <v>23</v>
      </c>
      <c r="B28" s="34" t="n">
        <f aca="false">Amortización!B28</f>
        <v>46752</v>
      </c>
      <c r="C28" s="17" t="n">
        <f aca="false">I27</f>
        <v>23476.3</v>
      </c>
      <c r="D28" s="17" t="n">
        <f aca="false">ROUND(C28*Amortización!$J$6*(MAX(0,DATE(YEAR(B28),1,1)-B27)/(DATE(YEAR(B27)+1,1,1)-DATE(YEAR(B27),1,1))+(B28-MAX(B27,DATE(YEAR(B28),1,1)))/(DATE(YEAR(B28)+1,1,1)-DATE(YEAR(B28),1,1))),2)</f>
        <v>279.14</v>
      </c>
      <c r="E28" s="17" t="n">
        <f aca="false">IF(C28&lt;=0,0,MIN(C28,ROUND(Amortización!D28*C28/Amortización!F27,2))+D28)</f>
        <v>896.94</v>
      </c>
      <c r="F28" s="37"/>
      <c r="G28" s="17" t="n">
        <f aca="false">IF(F28="",E28,F28)</f>
        <v>896.94</v>
      </c>
      <c r="H28" s="17" t="n">
        <f aca="false">G28-D28</f>
        <v>617.8</v>
      </c>
      <c r="I28" s="17" t="n">
        <f aca="false">ROUND(C28-H28,2)</f>
        <v>22858.5</v>
      </c>
    </row>
    <row r="29" customFormat="false" ht="15" hidden="false" customHeight="false" outlineLevel="0" collapsed="false">
      <c r="A29" s="38" t="n">
        <f aca="false">Amortización!A29</f>
        <v>24</v>
      </c>
      <c r="B29" s="39" t="n">
        <f aca="false">Amortización!B29</f>
        <v>46783</v>
      </c>
      <c r="C29" s="40" t="n">
        <f aca="false">I28</f>
        <v>22858.5</v>
      </c>
      <c r="D29" s="40" t="n">
        <f aca="false">ROUND(C29*Amortización!$J$6*(MAX(0,DATE(YEAR(B29),1,1)-B28)/(DATE(YEAR(B28)+1,1,1)-DATE(YEAR(B28),1,1))+(B29-MAX(B28,DATE(YEAR(B29),1,1)))/(DATE(YEAR(B29)+1,1,1)-DATE(YEAR(B29),1,1))),2)</f>
        <v>271.08</v>
      </c>
      <c r="E29" s="40" t="n">
        <f aca="false">IF(C29&lt;=0,0,MIN(C29,ROUND(Amortización!D29*C29/Amortización!F28,2))+D29)</f>
        <v>888.88</v>
      </c>
      <c r="F29" s="37"/>
      <c r="G29" s="40" t="n">
        <f aca="false">IF(F29="",E29,F29)</f>
        <v>888.88</v>
      </c>
      <c r="H29" s="40" t="n">
        <f aca="false">G29-D29</f>
        <v>617.8</v>
      </c>
      <c r="I29" s="40" t="n">
        <f aca="false">ROUND(C29-H29,2)</f>
        <v>22240.7</v>
      </c>
    </row>
    <row r="30" customFormat="false" ht="15" hidden="false" customHeight="false" outlineLevel="0" collapsed="false">
      <c r="A30" s="33" t="n">
        <f aca="false">Amortización!A30</f>
        <v>25</v>
      </c>
      <c r="B30" s="34" t="n">
        <f aca="false">Amortización!B30</f>
        <v>46812</v>
      </c>
      <c r="C30" s="17" t="n">
        <f aca="false">I29</f>
        <v>22240.7</v>
      </c>
      <c r="D30" s="17" t="n">
        <f aca="false">ROUND(C30*Amortización!$J$6*(MAX(0,DATE(YEAR(B30),1,1)-B29)/(DATE(YEAR(B29)+1,1,1)-DATE(YEAR(B29),1,1))+(B30-MAX(B29,DATE(YEAR(B30),1,1)))/(DATE(YEAR(B30)+1,1,1)-DATE(YEAR(B30),1,1))),2)</f>
        <v>246.71</v>
      </c>
      <c r="E30" s="17" t="n">
        <f aca="false">IF(C30&lt;=0,0,MIN(C30,ROUND(Amortización!D30*C30/Amortización!F29,2))+D30)</f>
        <v>864.51</v>
      </c>
      <c r="F30" s="37"/>
      <c r="G30" s="17" t="n">
        <f aca="false">IF(F30="",E30,F30)</f>
        <v>864.51</v>
      </c>
      <c r="H30" s="17" t="n">
        <f aca="false">G30-D30</f>
        <v>617.8</v>
      </c>
      <c r="I30" s="17" t="n">
        <f aca="false">ROUND(C30-H30,2)</f>
        <v>21622.9</v>
      </c>
    </row>
    <row r="31" customFormat="false" ht="15" hidden="false" customHeight="false" outlineLevel="0" collapsed="false">
      <c r="A31" s="38" t="n">
        <f aca="false">Amortización!A31</f>
        <v>26</v>
      </c>
      <c r="B31" s="39" t="n">
        <f aca="false">Amortización!B31</f>
        <v>46843</v>
      </c>
      <c r="C31" s="40" t="n">
        <f aca="false">I30</f>
        <v>21622.9</v>
      </c>
      <c r="D31" s="40" t="n">
        <f aca="false">ROUND(C31*Amortización!$J$6*(MAX(0,DATE(YEAR(B31),1,1)-B30)/(DATE(YEAR(B30)+1,1,1)-DATE(YEAR(B30),1,1))+(B31-MAX(B30,DATE(YEAR(B31),1,1)))/(DATE(YEAR(B31)+1,1,1)-DATE(YEAR(B31),1,1))),2)</f>
        <v>256.4</v>
      </c>
      <c r="E31" s="40" t="n">
        <f aca="false">IF(C31&lt;=0,0,MIN(C31,ROUND(Amortización!D31*C31/Amortización!F30,2))+D31)</f>
        <v>874.2</v>
      </c>
      <c r="F31" s="37"/>
      <c r="G31" s="40" t="n">
        <f aca="false">IF(F31="",E31,F31)</f>
        <v>874.2</v>
      </c>
      <c r="H31" s="40" t="n">
        <f aca="false">G31-D31</f>
        <v>617.8</v>
      </c>
      <c r="I31" s="40" t="n">
        <f aca="false">ROUND(C31-H31,2)</f>
        <v>21005.1</v>
      </c>
    </row>
    <row r="32" customFormat="false" ht="15" hidden="false" customHeight="false" outlineLevel="0" collapsed="false">
      <c r="A32" s="33" t="n">
        <f aca="false">Amortización!A32</f>
        <v>27</v>
      </c>
      <c r="B32" s="34" t="n">
        <f aca="false">Amortización!B32</f>
        <v>46873</v>
      </c>
      <c r="C32" s="17" t="n">
        <f aca="false">I31</f>
        <v>21005.1</v>
      </c>
      <c r="D32" s="17" t="n">
        <f aca="false">ROUND(C32*Amortización!$J$6*(MAX(0,DATE(YEAR(B32),1,1)-B31)/(DATE(YEAR(B31)+1,1,1)-DATE(YEAR(B31),1,1))+(B32-MAX(B31,DATE(YEAR(B32),1,1)))/(DATE(YEAR(B32)+1,1,1)-DATE(YEAR(B32),1,1))),2)</f>
        <v>241.04</v>
      </c>
      <c r="E32" s="17" t="n">
        <f aca="false">IF(C32&lt;=0,0,MIN(C32,ROUND(Amortización!D32*C32/Amortización!F31,2))+D32)</f>
        <v>858.84</v>
      </c>
      <c r="F32" s="37"/>
      <c r="G32" s="17" t="n">
        <f aca="false">IF(F32="",E32,F32)</f>
        <v>858.84</v>
      </c>
      <c r="H32" s="17" t="n">
        <f aca="false">G32-D32</f>
        <v>617.8</v>
      </c>
      <c r="I32" s="17" t="n">
        <f aca="false">ROUND(C32-H32,2)</f>
        <v>20387.3</v>
      </c>
    </row>
    <row r="33" customFormat="false" ht="15" hidden="false" customHeight="false" outlineLevel="0" collapsed="false">
      <c r="A33" s="38" t="n">
        <f aca="false">Amortización!A33</f>
        <v>28</v>
      </c>
      <c r="B33" s="39" t="n">
        <f aca="false">Amortización!B33</f>
        <v>46904</v>
      </c>
      <c r="C33" s="40" t="n">
        <f aca="false">I32</f>
        <v>20387.3</v>
      </c>
      <c r="D33" s="40" t="n">
        <f aca="false">ROUND(C33*Amortización!$J$6*(MAX(0,DATE(YEAR(B33),1,1)-B32)/(DATE(YEAR(B32)+1,1,1)-DATE(YEAR(B32),1,1))+(B33-MAX(B32,DATE(YEAR(B33),1,1)))/(DATE(YEAR(B33)+1,1,1)-DATE(YEAR(B33),1,1))),2)</f>
        <v>241.75</v>
      </c>
      <c r="E33" s="40" t="n">
        <f aca="false">IF(C33&lt;=0,0,MIN(C33,ROUND(Amortización!D33*C33/Amortización!F32,2))+D33)</f>
        <v>859.55</v>
      </c>
      <c r="F33" s="37"/>
      <c r="G33" s="40" t="n">
        <f aca="false">IF(F33="",E33,F33)</f>
        <v>859.55</v>
      </c>
      <c r="H33" s="40" t="n">
        <f aca="false">G33-D33</f>
        <v>617.8</v>
      </c>
      <c r="I33" s="40" t="n">
        <f aca="false">ROUND(C33-H33,2)</f>
        <v>19769.5</v>
      </c>
    </row>
    <row r="34" customFormat="false" ht="15" hidden="false" customHeight="false" outlineLevel="0" collapsed="false">
      <c r="A34" s="33" t="n">
        <f aca="false">Amortización!A34</f>
        <v>29</v>
      </c>
      <c r="B34" s="34" t="n">
        <f aca="false">Amortización!B34</f>
        <v>46934</v>
      </c>
      <c r="C34" s="17" t="n">
        <f aca="false">I33</f>
        <v>19769.5</v>
      </c>
      <c r="D34" s="17" t="n">
        <f aca="false">ROUND(C34*Amortización!$J$6*(MAX(0,DATE(YEAR(B34),1,1)-B33)/(DATE(YEAR(B33)+1,1,1)-DATE(YEAR(B33),1,1))+(B34-MAX(B33,DATE(YEAR(B34),1,1)))/(DATE(YEAR(B34)+1,1,1)-DATE(YEAR(B34),1,1))),2)</f>
        <v>226.86</v>
      </c>
      <c r="E34" s="17" t="n">
        <f aca="false">IF(C34&lt;=0,0,MIN(C34,ROUND(Amortización!D34*C34/Amortización!F33,2))+D34)</f>
        <v>844.66</v>
      </c>
      <c r="F34" s="37"/>
      <c r="G34" s="17" t="n">
        <f aca="false">IF(F34="",E34,F34)</f>
        <v>844.66</v>
      </c>
      <c r="H34" s="17" t="n">
        <f aca="false">G34-D34</f>
        <v>617.8</v>
      </c>
      <c r="I34" s="17" t="n">
        <f aca="false">ROUND(C34-H34,2)</f>
        <v>19151.7</v>
      </c>
    </row>
    <row r="35" customFormat="false" ht="15" hidden="false" customHeight="false" outlineLevel="0" collapsed="false">
      <c r="A35" s="38" t="n">
        <f aca="false">Amortización!A35</f>
        <v>30</v>
      </c>
      <c r="B35" s="39" t="n">
        <f aca="false">Amortización!B35</f>
        <v>46965</v>
      </c>
      <c r="C35" s="40" t="n">
        <f aca="false">I34</f>
        <v>19151.7</v>
      </c>
      <c r="D35" s="40" t="n">
        <f aca="false">ROUND(C35*Amortización!$J$6*(MAX(0,DATE(YEAR(B35),1,1)-B34)/(DATE(YEAR(B34)+1,1,1)-DATE(YEAR(B34),1,1))+(B35-MAX(B34,DATE(YEAR(B35),1,1)))/(DATE(YEAR(B35)+1,1,1)-DATE(YEAR(B35),1,1))),2)</f>
        <v>227.1</v>
      </c>
      <c r="E35" s="40" t="n">
        <f aca="false">IF(C35&lt;=0,0,MIN(C35,ROUND(Amortización!D35*C35/Amortización!F34,2))+D35)</f>
        <v>844.9</v>
      </c>
      <c r="F35" s="37"/>
      <c r="G35" s="40" t="n">
        <f aca="false">IF(F35="",E35,F35)</f>
        <v>844.9</v>
      </c>
      <c r="H35" s="40" t="n">
        <f aca="false">G35-D35</f>
        <v>617.8</v>
      </c>
      <c r="I35" s="40" t="n">
        <f aca="false">ROUND(C35-H35,2)</f>
        <v>18533.9</v>
      </c>
    </row>
    <row r="36" customFormat="false" ht="15" hidden="false" customHeight="false" outlineLevel="0" collapsed="false">
      <c r="A36" s="33" t="n">
        <f aca="false">Amortización!A36</f>
        <v>31</v>
      </c>
      <c r="B36" s="34" t="n">
        <f aca="false">Amortización!B36</f>
        <v>46996</v>
      </c>
      <c r="C36" s="17" t="n">
        <f aca="false">I35</f>
        <v>18533.9</v>
      </c>
      <c r="D36" s="17" t="n">
        <f aca="false">ROUND(C36*Amortización!$J$6*(MAX(0,DATE(YEAR(B36),1,1)-B35)/(DATE(YEAR(B35)+1,1,1)-DATE(YEAR(B35),1,1))+(B36-MAX(B35,DATE(YEAR(B36),1,1)))/(DATE(YEAR(B36)+1,1,1)-DATE(YEAR(B36),1,1))),2)</f>
        <v>219.77</v>
      </c>
      <c r="E36" s="17" t="n">
        <f aca="false">IF(C36&lt;=0,0,MIN(C36,ROUND(Amortización!D36*C36/Amortización!F35,2))+D36)</f>
        <v>837.57</v>
      </c>
      <c r="F36" s="37"/>
      <c r="G36" s="17" t="n">
        <f aca="false">IF(F36="",E36,F36)</f>
        <v>837.57</v>
      </c>
      <c r="H36" s="17" t="n">
        <f aca="false">G36-D36</f>
        <v>617.8</v>
      </c>
      <c r="I36" s="17" t="n">
        <f aca="false">ROUND(C36-H36,2)</f>
        <v>17916.1</v>
      </c>
    </row>
    <row r="37" customFormat="false" ht="15" hidden="false" customHeight="false" outlineLevel="0" collapsed="false">
      <c r="A37" s="38" t="n">
        <f aca="false">Amortización!A37</f>
        <v>32</v>
      </c>
      <c r="B37" s="39" t="n">
        <f aca="false">Amortización!B37</f>
        <v>47026</v>
      </c>
      <c r="C37" s="40" t="n">
        <f aca="false">I36</f>
        <v>17916.1</v>
      </c>
      <c r="D37" s="40" t="n">
        <f aca="false">ROUND(C37*Amortización!$J$6*(MAX(0,DATE(YEAR(B37),1,1)-B36)/(DATE(YEAR(B36)+1,1,1)-DATE(YEAR(B36),1,1))+(B37-MAX(B36,DATE(YEAR(B37),1,1)))/(DATE(YEAR(B37)+1,1,1)-DATE(YEAR(B37),1,1))),2)</f>
        <v>205.59</v>
      </c>
      <c r="E37" s="40" t="n">
        <f aca="false">IF(C37&lt;=0,0,MIN(C37,ROUND(Amortización!D37*C37/Amortización!F36,2))+D37)</f>
        <v>823.39</v>
      </c>
      <c r="F37" s="37"/>
      <c r="G37" s="40" t="n">
        <f aca="false">IF(F37="",E37,F37)</f>
        <v>823.39</v>
      </c>
      <c r="H37" s="40" t="n">
        <f aca="false">G37-D37</f>
        <v>617.8</v>
      </c>
      <c r="I37" s="40" t="n">
        <f aca="false">ROUND(C37-H37,2)</f>
        <v>17298.3</v>
      </c>
    </row>
    <row r="38" customFormat="false" ht="15" hidden="false" customHeight="false" outlineLevel="0" collapsed="false">
      <c r="A38" s="33" t="n">
        <f aca="false">Amortización!A38</f>
        <v>33</v>
      </c>
      <c r="B38" s="34" t="n">
        <f aca="false">Amortización!B38</f>
        <v>47057</v>
      </c>
      <c r="C38" s="17" t="n">
        <f aca="false">I37</f>
        <v>17298.3</v>
      </c>
      <c r="D38" s="17" t="n">
        <f aca="false">ROUND(C38*Amortización!$J$6*(MAX(0,DATE(YEAR(B38),1,1)-B37)/(DATE(YEAR(B37)+1,1,1)-DATE(YEAR(B37),1,1))+(B38-MAX(B37,DATE(YEAR(B38),1,1)))/(DATE(YEAR(B38)+1,1,1)-DATE(YEAR(B38),1,1))),2)</f>
        <v>205.12</v>
      </c>
      <c r="E38" s="17" t="n">
        <f aca="false">IF(C38&lt;=0,0,MIN(C38,ROUND(Amortización!D38*C38/Amortización!F37,2))+D38)</f>
        <v>822.92</v>
      </c>
      <c r="F38" s="37"/>
      <c r="G38" s="17" t="n">
        <f aca="false">IF(F38="",E38,F38)</f>
        <v>822.92</v>
      </c>
      <c r="H38" s="17" t="n">
        <f aca="false">G38-D38</f>
        <v>617.8</v>
      </c>
      <c r="I38" s="17" t="n">
        <f aca="false">ROUND(C38-H38,2)</f>
        <v>16680.5</v>
      </c>
    </row>
    <row r="39" customFormat="false" ht="15" hidden="false" customHeight="false" outlineLevel="0" collapsed="false">
      <c r="A39" s="38" t="n">
        <f aca="false">Amortización!A39</f>
        <v>34</v>
      </c>
      <c r="B39" s="39" t="n">
        <f aca="false">Amortización!B39</f>
        <v>47087</v>
      </c>
      <c r="C39" s="40" t="n">
        <f aca="false">I38</f>
        <v>16680.5</v>
      </c>
      <c r="D39" s="40" t="n">
        <f aca="false">ROUND(C39*Amortización!$J$6*(MAX(0,DATE(YEAR(B39),1,1)-B38)/(DATE(YEAR(B38)+1,1,1)-DATE(YEAR(B38),1,1))+(B39-MAX(B38,DATE(YEAR(B39),1,1)))/(DATE(YEAR(B39)+1,1,1)-DATE(YEAR(B39),1,1))),2)</f>
        <v>191.42</v>
      </c>
      <c r="E39" s="40" t="n">
        <f aca="false">IF(C39&lt;=0,0,MIN(C39,ROUND(Amortización!D39*C39/Amortización!F38,2))+D39)</f>
        <v>809.22</v>
      </c>
      <c r="F39" s="37"/>
      <c r="G39" s="40" t="n">
        <f aca="false">IF(F39="",E39,F39)</f>
        <v>809.22</v>
      </c>
      <c r="H39" s="40" t="n">
        <f aca="false">G39-D39</f>
        <v>617.8</v>
      </c>
      <c r="I39" s="40" t="n">
        <f aca="false">ROUND(C39-H39,2)</f>
        <v>16062.7</v>
      </c>
    </row>
    <row r="40" customFormat="false" ht="15" hidden="false" customHeight="false" outlineLevel="0" collapsed="false">
      <c r="A40" s="33" t="n">
        <f aca="false">Amortización!A40</f>
        <v>35</v>
      </c>
      <c r="B40" s="34" t="n">
        <f aca="false">Amortización!B40</f>
        <v>47118</v>
      </c>
      <c r="C40" s="17" t="n">
        <f aca="false">I39</f>
        <v>16062.7</v>
      </c>
      <c r="D40" s="17" t="n">
        <f aca="false">ROUND(C40*Amortización!$J$6*(MAX(0,DATE(YEAR(B40),1,1)-B39)/(DATE(YEAR(B39)+1,1,1)-DATE(YEAR(B39),1,1))+(B40-MAX(B39,DATE(YEAR(B40),1,1)))/(DATE(YEAR(B40)+1,1,1)-DATE(YEAR(B40),1,1))),2)</f>
        <v>190.47</v>
      </c>
      <c r="E40" s="17" t="n">
        <f aca="false">IF(C40&lt;=0,0,MIN(C40,ROUND(Amortización!D40*C40/Amortización!F39,2))+D40)</f>
        <v>808.27</v>
      </c>
      <c r="F40" s="37"/>
      <c r="G40" s="17" t="n">
        <f aca="false">IF(F40="",E40,F40)</f>
        <v>808.27</v>
      </c>
      <c r="H40" s="17" t="n">
        <f aca="false">G40-D40</f>
        <v>617.8</v>
      </c>
      <c r="I40" s="17" t="n">
        <f aca="false">ROUND(C40-H40,2)</f>
        <v>15444.9</v>
      </c>
    </row>
    <row r="41" customFormat="false" ht="15" hidden="false" customHeight="false" outlineLevel="0" collapsed="false">
      <c r="A41" s="38" t="n">
        <f aca="false">Amortización!A41</f>
        <v>36</v>
      </c>
      <c r="B41" s="39" t="n">
        <f aca="false">Amortización!B41</f>
        <v>47149</v>
      </c>
      <c r="C41" s="40" t="n">
        <f aca="false">I40</f>
        <v>15444.9</v>
      </c>
      <c r="D41" s="40" t="n">
        <f aca="false">ROUND(C41*Amortización!$J$6*(MAX(0,DATE(YEAR(B41),1,1)-B40)/(DATE(YEAR(B40)+1,1,1)-DATE(YEAR(B40),1,1))+(B41-MAX(B40,DATE(YEAR(B41),1,1)))/(DATE(YEAR(B41)+1,1,1)-DATE(YEAR(B41),1,1))),2)</f>
        <v>183.63</v>
      </c>
      <c r="E41" s="40" t="n">
        <f aca="false">IF(C41&lt;=0,0,MIN(C41,ROUND(Amortización!D41*C41/Amortización!F40,2))+D41)</f>
        <v>801.43</v>
      </c>
      <c r="F41" s="37"/>
      <c r="G41" s="40" t="n">
        <f aca="false">IF(F41="",E41,F41)</f>
        <v>801.43</v>
      </c>
      <c r="H41" s="40" t="n">
        <f aca="false">G41-D41</f>
        <v>617.8</v>
      </c>
      <c r="I41" s="40" t="n">
        <f aca="false">ROUND(C41-H41,2)</f>
        <v>14827.1</v>
      </c>
    </row>
    <row r="42" customFormat="false" ht="15" hidden="false" customHeight="false" outlineLevel="0" collapsed="false">
      <c r="A42" s="33" t="n">
        <f aca="false">Amortización!A42</f>
        <v>37</v>
      </c>
      <c r="B42" s="34" t="n">
        <f aca="false">Amortización!B42</f>
        <v>47177</v>
      </c>
      <c r="C42" s="17" t="n">
        <f aca="false">I41</f>
        <v>14827.1</v>
      </c>
      <c r="D42" s="17" t="n">
        <f aca="false">ROUND(C42*Amortización!$J$6*(MAX(0,DATE(YEAR(B42),1,1)-B41)/(DATE(YEAR(B41)+1,1,1)-DATE(YEAR(B41),1,1))+(B42-MAX(B41,DATE(YEAR(B42),1,1)))/(DATE(YEAR(B42)+1,1,1)-DATE(YEAR(B42),1,1))),2)</f>
        <v>159.24</v>
      </c>
      <c r="E42" s="17" t="n">
        <f aca="false">IF(C42&lt;=0,0,MIN(C42,ROUND(Amortización!D42*C42/Amortización!F41,2))+D42)</f>
        <v>777.04</v>
      </c>
      <c r="F42" s="37"/>
      <c r="G42" s="17" t="n">
        <f aca="false">IF(F42="",E42,F42)</f>
        <v>777.04</v>
      </c>
      <c r="H42" s="17" t="n">
        <f aca="false">G42-D42</f>
        <v>617.8</v>
      </c>
      <c r="I42" s="17" t="n">
        <f aca="false">ROUND(C42-H42,2)</f>
        <v>14209.3</v>
      </c>
    </row>
    <row r="43" customFormat="false" ht="15" hidden="false" customHeight="false" outlineLevel="0" collapsed="false">
      <c r="A43" s="38" t="n">
        <f aca="false">Amortización!A43</f>
        <v>38</v>
      </c>
      <c r="B43" s="39" t="n">
        <f aca="false">Amortización!B43</f>
        <v>47208</v>
      </c>
      <c r="C43" s="40" t="n">
        <f aca="false">I42</f>
        <v>14209.3</v>
      </c>
      <c r="D43" s="40" t="n">
        <f aca="false">ROUND(C43*Amortización!$J$6*(MAX(0,DATE(YEAR(B43),1,1)-B42)/(DATE(YEAR(B42)+1,1,1)-DATE(YEAR(B42),1,1))+(B43-MAX(B42,DATE(YEAR(B43),1,1)))/(DATE(YEAR(B43)+1,1,1)-DATE(YEAR(B43),1,1))),2)</f>
        <v>168.95</v>
      </c>
      <c r="E43" s="40" t="n">
        <f aca="false">IF(C43&lt;=0,0,MIN(C43,ROUND(Amortización!D43*C43/Amortización!F42,2))+D43)</f>
        <v>786.75</v>
      </c>
      <c r="F43" s="37"/>
      <c r="G43" s="40" t="n">
        <f aca="false">IF(F43="",E43,F43)</f>
        <v>786.75</v>
      </c>
      <c r="H43" s="40" t="n">
        <f aca="false">G43-D43</f>
        <v>617.8</v>
      </c>
      <c r="I43" s="40" t="n">
        <f aca="false">ROUND(C43-H43,2)</f>
        <v>13591.5</v>
      </c>
    </row>
    <row r="44" customFormat="false" ht="15" hidden="false" customHeight="false" outlineLevel="0" collapsed="false">
      <c r="A44" s="33" t="n">
        <f aca="false">Amortización!A44</f>
        <v>39</v>
      </c>
      <c r="B44" s="34" t="n">
        <f aca="false">Amortización!B44</f>
        <v>47238</v>
      </c>
      <c r="C44" s="17" t="n">
        <f aca="false">I43</f>
        <v>13591.5</v>
      </c>
      <c r="D44" s="17" t="n">
        <f aca="false">ROUND(C44*Amortización!$J$6*(MAX(0,DATE(YEAR(B44),1,1)-B43)/(DATE(YEAR(B43)+1,1,1)-DATE(YEAR(B43),1,1))+(B44-MAX(B43,DATE(YEAR(B44),1,1)))/(DATE(YEAR(B44)+1,1,1)-DATE(YEAR(B44),1,1))),2)</f>
        <v>156.4</v>
      </c>
      <c r="E44" s="17" t="n">
        <f aca="false">IF(C44&lt;=0,0,MIN(C44,ROUND(Amortización!D44*C44/Amortización!F43,2))+D44)</f>
        <v>774.2</v>
      </c>
      <c r="F44" s="37"/>
      <c r="G44" s="17" t="n">
        <f aca="false">IF(F44="",E44,F44)</f>
        <v>774.2</v>
      </c>
      <c r="H44" s="17" t="n">
        <f aca="false">G44-D44</f>
        <v>617.8</v>
      </c>
      <c r="I44" s="17" t="n">
        <f aca="false">ROUND(C44-H44,2)</f>
        <v>12973.7</v>
      </c>
    </row>
    <row r="45" customFormat="false" ht="15" hidden="false" customHeight="false" outlineLevel="0" collapsed="false">
      <c r="A45" s="38" t="n">
        <f aca="false">Amortización!A45</f>
        <v>40</v>
      </c>
      <c r="B45" s="39" t="n">
        <f aca="false">Amortización!B45</f>
        <v>47269</v>
      </c>
      <c r="C45" s="40" t="n">
        <f aca="false">I44</f>
        <v>12973.7</v>
      </c>
      <c r="D45" s="40" t="n">
        <f aca="false">ROUND(C45*Amortización!$J$6*(MAX(0,DATE(YEAR(B45),1,1)-B44)/(DATE(YEAR(B44)+1,1,1)-DATE(YEAR(B44),1,1))+(B45-MAX(B44,DATE(YEAR(B45),1,1)))/(DATE(YEAR(B45)+1,1,1)-DATE(YEAR(B45),1,1))),2)</f>
        <v>154.26</v>
      </c>
      <c r="E45" s="40" t="n">
        <f aca="false">IF(C45&lt;=0,0,MIN(C45,ROUND(Amortización!D45*C45/Amortización!F44,2))+D45)</f>
        <v>772.06</v>
      </c>
      <c r="F45" s="37"/>
      <c r="G45" s="40" t="n">
        <f aca="false">IF(F45="",E45,F45)</f>
        <v>772.06</v>
      </c>
      <c r="H45" s="40" t="n">
        <f aca="false">G45-D45</f>
        <v>617.8</v>
      </c>
      <c r="I45" s="40" t="n">
        <f aca="false">ROUND(C45-H45,2)</f>
        <v>12355.9</v>
      </c>
    </row>
    <row r="46" customFormat="false" ht="15" hidden="false" customHeight="false" outlineLevel="0" collapsed="false">
      <c r="A46" s="33" t="n">
        <f aca="false">Amortización!A46</f>
        <v>41</v>
      </c>
      <c r="B46" s="34" t="n">
        <f aca="false">Amortización!B46</f>
        <v>47299</v>
      </c>
      <c r="C46" s="17" t="n">
        <f aca="false">I45</f>
        <v>12355.9</v>
      </c>
      <c r="D46" s="17" t="n">
        <f aca="false">ROUND(C46*Amortización!$J$6*(MAX(0,DATE(YEAR(B46),1,1)-B45)/(DATE(YEAR(B45)+1,1,1)-DATE(YEAR(B45),1,1))+(B46-MAX(B45,DATE(YEAR(B46),1,1)))/(DATE(YEAR(B46)+1,1,1)-DATE(YEAR(B46),1,1))),2)</f>
        <v>142.18</v>
      </c>
      <c r="E46" s="17" t="n">
        <f aca="false">IF(C46&lt;=0,0,MIN(C46,ROUND(Amortización!D46*C46/Amortización!F45,2))+D46)</f>
        <v>759.98</v>
      </c>
      <c r="F46" s="37"/>
      <c r="G46" s="17" t="n">
        <f aca="false">IF(F46="",E46,F46)</f>
        <v>759.98</v>
      </c>
      <c r="H46" s="17" t="n">
        <f aca="false">G46-D46</f>
        <v>617.8</v>
      </c>
      <c r="I46" s="17" t="n">
        <f aca="false">ROUND(C46-H46,2)</f>
        <v>11738.1</v>
      </c>
    </row>
    <row r="47" customFormat="false" ht="15" hidden="false" customHeight="false" outlineLevel="0" collapsed="false">
      <c r="A47" s="38" t="n">
        <f aca="false">Amortización!A47</f>
        <v>42</v>
      </c>
      <c r="B47" s="39" t="n">
        <f aca="false">Amortización!B47</f>
        <v>47330</v>
      </c>
      <c r="C47" s="40" t="n">
        <f aca="false">I46</f>
        <v>11738.1</v>
      </c>
      <c r="D47" s="40" t="n">
        <f aca="false">ROUND(C47*Amortización!$J$6*(MAX(0,DATE(YEAR(B47),1,1)-B46)/(DATE(YEAR(B46)+1,1,1)-DATE(YEAR(B46),1,1))+(B47-MAX(B46,DATE(YEAR(B47),1,1)))/(DATE(YEAR(B47)+1,1,1)-DATE(YEAR(B47),1,1))),2)</f>
        <v>139.57</v>
      </c>
      <c r="E47" s="40" t="n">
        <f aca="false">IF(C47&lt;=0,0,MIN(C47,ROUND(Amortización!D47*C47/Amortización!F46,2))+D47)</f>
        <v>757.37</v>
      </c>
      <c r="F47" s="37"/>
      <c r="G47" s="40" t="n">
        <f aca="false">IF(F47="",E47,F47)</f>
        <v>757.37</v>
      </c>
      <c r="H47" s="40" t="n">
        <f aca="false">G47-D47</f>
        <v>617.8</v>
      </c>
      <c r="I47" s="40" t="n">
        <f aca="false">ROUND(C47-H47,2)</f>
        <v>11120.3</v>
      </c>
    </row>
    <row r="48" customFormat="false" ht="15" hidden="false" customHeight="false" outlineLevel="0" collapsed="false">
      <c r="A48" s="33" t="n">
        <f aca="false">Amortización!A48</f>
        <v>43</v>
      </c>
      <c r="B48" s="34" t="n">
        <f aca="false">Amortización!B48</f>
        <v>47361</v>
      </c>
      <c r="C48" s="17" t="n">
        <f aca="false">I47</f>
        <v>11120.3</v>
      </c>
      <c r="D48" s="17" t="n">
        <f aca="false">ROUND(C48*Amortización!$J$6*(MAX(0,DATE(YEAR(B48),1,1)-B47)/(DATE(YEAR(B47)+1,1,1)-DATE(YEAR(B47),1,1))+(B48-MAX(B47,DATE(YEAR(B48),1,1)))/(DATE(YEAR(B48)+1,1,1)-DATE(YEAR(B48),1,1))),2)</f>
        <v>132.22</v>
      </c>
      <c r="E48" s="17" t="n">
        <f aca="false">IF(C48&lt;=0,0,MIN(C48,ROUND(Amortización!D48*C48/Amortización!F47,2))+D48)</f>
        <v>750.02</v>
      </c>
      <c r="F48" s="37"/>
      <c r="G48" s="17" t="n">
        <f aca="false">IF(F48="",E48,F48)</f>
        <v>750.02</v>
      </c>
      <c r="H48" s="17" t="n">
        <f aca="false">G48-D48</f>
        <v>617.8</v>
      </c>
      <c r="I48" s="17" t="n">
        <f aca="false">ROUND(C48-H48,2)</f>
        <v>10502.5</v>
      </c>
    </row>
    <row r="49" customFormat="false" ht="15" hidden="false" customHeight="false" outlineLevel="0" collapsed="false">
      <c r="A49" s="38" t="n">
        <f aca="false">Amortización!A49</f>
        <v>44</v>
      </c>
      <c r="B49" s="39" t="n">
        <f aca="false">Amortización!B49</f>
        <v>47391</v>
      </c>
      <c r="C49" s="40" t="n">
        <f aca="false">I48</f>
        <v>10502.5</v>
      </c>
      <c r="D49" s="40" t="n">
        <f aca="false">ROUND(C49*Amortización!$J$6*(MAX(0,DATE(YEAR(B49),1,1)-B48)/(DATE(YEAR(B48)+1,1,1)-DATE(YEAR(B48),1,1))+(B49-MAX(B48,DATE(YEAR(B49),1,1)))/(DATE(YEAR(B49)+1,1,1)-DATE(YEAR(B49),1,1))),2)</f>
        <v>120.85</v>
      </c>
      <c r="E49" s="40" t="n">
        <f aca="false">IF(C49&lt;=0,0,MIN(C49,ROUND(Amortización!D49*C49/Amortización!F48,2))+D49)</f>
        <v>738.65</v>
      </c>
      <c r="F49" s="37"/>
      <c r="G49" s="40" t="n">
        <f aca="false">IF(F49="",E49,F49)</f>
        <v>738.65</v>
      </c>
      <c r="H49" s="40" t="n">
        <f aca="false">G49-D49</f>
        <v>617.8</v>
      </c>
      <c r="I49" s="40" t="n">
        <f aca="false">ROUND(C49-H49,2)</f>
        <v>9884.7</v>
      </c>
    </row>
    <row r="50" customFormat="false" ht="15" hidden="false" customHeight="false" outlineLevel="0" collapsed="false">
      <c r="A50" s="33" t="n">
        <f aca="false">Amortización!A50</f>
        <v>45</v>
      </c>
      <c r="B50" s="34" t="n">
        <f aca="false">Amortización!B50</f>
        <v>47422</v>
      </c>
      <c r="C50" s="17" t="n">
        <f aca="false">I49</f>
        <v>9884.7</v>
      </c>
      <c r="D50" s="17" t="n">
        <f aca="false">ROUND(C50*Amortización!$J$6*(MAX(0,DATE(YEAR(B50),1,1)-B49)/(DATE(YEAR(B49)+1,1,1)-DATE(YEAR(B49),1,1))+(B50-MAX(B49,DATE(YEAR(B50),1,1)))/(DATE(YEAR(B50)+1,1,1)-DATE(YEAR(B50),1,1))),2)</f>
        <v>117.53</v>
      </c>
      <c r="E50" s="17" t="n">
        <f aca="false">IF(C50&lt;=0,0,MIN(C50,ROUND(Amortización!D50*C50/Amortización!F49,2))+D50)</f>
        <v>735.33</v>
      </c>
      <c r="F50" s="37"/>
      <c r="G50" s="17" t="n">
        <f aca="false">IF(F50="",E50,F50)</f>
        <v>735.33</v>
      </c>
      <c r="H50" s="17" t="n">
        <f aca="false">G50-D50</f>
        <v>617.8</v>
      </c>
      <c r="I50" s="17" t="n">
        <f aca="false">ROUND(C50-H50,2)</f>
        <v>9266.9</v>
      </c>
    </row>
    <row r="51" customFormat="false" ht="15" hidden="false" customHeight="false" outlineLevel="0" collapsed="false">
      <c r="A51" s="38" t="n">
        <f aca="false">Amortización!A51</f>
        <v>46</v>
      </c>
      <c r="B51" s="39" t="n">
        <f aca="false">Amortización!B51</f>
        <v>47452</v>
      </c>
      <c r="C51" s="40" t="n">
        <f aca="false">I50</f>
        <v>9266.9</v>
      </c>
      <c r="D51" s="40" t="n">
        <f aca="false">ROUND(C51*Amortización!$J$6*(MAX(0,DATE(YEAR(B51),1,1)-B50)/(DATE(YEAR(B50)+1,1,1)-DATE(YEAR(B50),1,1))+(B51-MAX(B50,DATE(YEAR(B51),1,1)))/(DATE(YEAR(B51)+1,1,1)-DATE(YEAR(B51),1,1))),2)</f>
        <v>106.63</v>
      </c>
      <c r="E51" s="40" t="n">
        <f aca="false">IF(C51&lt;=0,0,MIN(C51,ROUND(Amortización!D51*C51/Amortización!F50,2))+D51)</f>
        <v>724.43</v>
      </c>
      <c r="F51" s="37"/>
      <c r="G51" s="40" t="n">
        <f aca="false">IF(F51="",E51,F51)</f>
        <v>724.43</v>
      </c>
      <c r="H51" s="40" t="n">
        <f aca="false">G51-D51</f>
        <v>617.8</v>
      </c>
      <c r="I51" s="40" t="n">
        <f aca="false">ROUND(C51-H51,2)</f>
        <v>8649.1</v>
      </c>
    </row>
    <row r="52" customFormat="false" ht="15" hidden="false" customHeight="false" outlineLevel="0" collapsed="false">
      <c r="A52" s="33" t="n">
        <f aca="false">Amortización!A52</f>
        <v>47</v>
      </c>
      <c r="B52" s="34" t="n">
        <f aca="false">Amortización!B52</f>
        <v>47483</v>
      </c>
      <c r="C52" s="17" t="n">
        <f aca="false">I51</f>
        <v>8649.1</v>
      </c>
      <c r="D52" s="17" t="n">
        <f aca="false">ROUND(C52*Amortización!$J$6*(MAX(0,DATE(YEAR(B52),1,1)-B51)/(DATE(YEAR(B51)+1,1,1)-DATE(YEAR(B51),1,1))+(B52-MAX(B51,DATE(YEAR(B52),1,1)))/(DATE(YEAR(B52)+1,1,1)-DATE(YEAR(B52),1,1))),2)</f>
        <v>102.84</v>
      </c>
      <c r="E52" s="17" t="n">
        <f aca="false">IF(C52&lt;=0,0,MIN(C52,ROUND(Amortización!D52*C52/Amortización!F51,2))+D52)</f>
        <v>720.64</v>
      </c>
      <c r="F52" s="37"/>
      <c r="G52" s="17" t="n">
        <f aca="false">IF(F52="",E52,F52)</f>
        <v>720.64</v>
      </c>
      <c r="H52" s="17" t="n">
        <f aca="false">G52-D52</f>
        <v>617.8</v>
      </c>
      <c r="I52" s="17" t="n">
        <f aca="false">ROUND(C52-H52,2)</f>
        <v>8031.3</v>
      </c>
    </row>
    <row r="53" customFormat="false" ht="15" hidden="false" customHeight="false" outlineLevel="0" collapsed="false">
      <c r="A53" s="38" t="n">
        <f aca="false">Amortización!A53</f>
        <v>48</v>
      </c>
      <c r="B53" s="39" t="n">
        <f aca="false">Amortización!B53</f>
        <v>47514</v>
      </c>
      <c r="C53" s="40" t="n">
        <f aca="false">I52</f>
        <v>8031.3</v>
      </c>
      <c r="D53" s="40" t="n">
        <f aca="false">ROUND(C53*Amortización!$J$6*(MAX(0,DATE(YEAR(B53),1,1)-B52)/(DATE(YEAR(B52)+1,1,1)-DATE(YEAR(B52),1,1))+(B53-MAX(B52,DATE(YEAR(B53),1,1)))/(DATE(YEAR(B53)+1,1,1)-DATE(YEAR(B53),1,1))),2)</f>
        <v>95.5</v>
      </c>
      <c r="E53" s="40" t="n">
        <f aca="false">IF(C53&lt;=0,0,MIN(C53,ROUND(Amortización!D53*C53/Amortización!F52,2))+D53)</f>
        <v>713.3</v>
      </c>
      <c r="F53" s="37"/>
      <c r="G53" s="40" t="n">
        <f aca="false">IF(F53="",E53,F53)</f>
        <v>713.3</v>
      </c>
      <c r="H53" s="40" t="n">
        <f aca="false">G53-D53</f>
        <v>617.8</v>
      </c>
      <c r="I53" s="40" t="n">
        <f aca="false">ROUND(C53-H53,2)</f>
        <v>7413.5</v>
      </c>
    </row>
    <row r="54" customFormat="false" ht="15" hidden="false" customHeight="false" outlineLevel="0" collapsed="false">
      <c r="A54" s="33" t="n">
        <f aca="false">Amortización!A54</f>
        <v>49</v>
      </c>
      <c r="B54" s="34" t="n">
        <f aca="false">Amortización!B54</f>
        <v>47542</v>
      </c>
      <c r="C54" s="17" t="n">
        <f aca="false">I53</f>
        <v>7413.5</v>
      </c>
      <c r="D54" s="17" t="n">
        <f aca="false">ROUND(C54*Amortización!$J$6*(MAX(0,DATE(YEAR(B54),1,1)-B53)/(DATE(YEAR(B53)+1,1,1)-DATE(YEAR(B53),1,1))+(B54-MAX(B53,DATE(YEAR(B54),1,1)))/(DATE(YEAR(B54)+1,1,1)-DATE(YEAR(B54),1,1))),2)</f>
        <v>79.62</v>
      </c>
      <c r="E54" s="17" t="n">
        <f aca="false">IF(C54&lt;=0,0,MIN(C54,ROUND(Amortización!D54*C54/Amortización!F53,2))+D54)</f>
        <v>697.42</v>
      </c>
      <c r="F54" s="37"/>
      <c r="G54" s="17" t="n">
        <f aca="false">IF(F54="",E54,F54)</f>
        <v>697.42</v>
      </c>
      <c r="H54" s="17" t="n">
        <f aca="false">G54-D54</f>
        <v>617.8</v>
      </c>
      <c r="I54" s="17" t="n">
        <f aca="false">ROUND(C54-H54,2)</f>
        <v>6795.7</v>
      </c>
    </row>
    <row r="55" customFormat="false" ht="15" hidden="false" customHeight="false" outlineLevel="0" collapsed="false">
      <c r="A55" s="38" t="n">
        <f aca="false">Amortización!A55</f>
        <v>50</v>
      </c>
      <c r="B55" s="39" t="n">
        <f aca="false">Amortización!B55</f>
        <v>47573</v>
      </c>
      <c r="C55" s="40" t="n">
        <f aca="false">I54</f>
        <v>6795.7</v>
      </c>
      <c r="D55" s="40" t="n">
        <f aca="false">ROUND(C55*Amortización!$J$6*(MAX(0,DATE(YEAR(B55),1,1)-B54)/(DATE(YEAR(B54)+1,1,1)-DATE(YEAR(B54),1,1))+(B55-MAX(B54,DATE(YEAR(B55),1,1)))/(DATE(YEAR(B55)+1,1,1)-DATE(YEAR(B55),1,1))),2)</f>
        <v>80.8</v>
      </c>
      <c r="E55" s="40" t="n">
        <f aca="false">IF(C55&lt;=0,0,MIN(C55,ROUND(Amortización!D55*C55/Amortización!F54,2))+D55)</f>
        <v>698.6</v>
      </c>
      <c r="F55" s="37"/>
      <c r="G55" s="40" t="n">
        <f aca="false">IF(F55="",E55,F55)</f>
        <v>698.6</v>
      </c>
      <c r="H55" s="40" t="n">
        <f aca="false">G55-D55</f>
        <v>617.8</v>
      </c>
      <c r="I55" s="40" t="n">
        <f aca="false">ROUND(C55-H55,2)</f>
        <v>6177.9</v>
      </c>
    </row>
    <row r="56" customFormat="false" ht="15" hidden="false" customHeight="false" outlineLevel="0" collapsed="false">
      <c r="A56" s="33" t="n">
        <f aca="false">Amortización!A56</f>
        <v>51</v>
      </c>
      <c r="B56" s="34" t="n">
        <f aca="false">Amortización!B56</f>
        <v>47603</v>
      </c>
      <c r="C56" s="17" t="n">
        <f aca="false">I55</f>
        <v>6177.9</v>
      </c>
      <c r="D56" s="17" t="n">
        <f aca="false">ROUND(C56*Amortización!$J$6*(MAX(0,DATE(YEAR(B56),1,1)-B55)/(DATE(YEAR(B55)+1,1,1)-DATE(YEAR(B55),1,1))+(B56-MAX(B55,DATE(YEAR(B56),1,1)))/(DATE(YEAR(B56)+1,1,1)-DATE(YEAR(B56),1,1))),2)</f>
        <v>71.09</v>
      </c>
      <c r="E56" s="17" t="n">
        <f aca="false">IF(C56&lt;=0,0,MIN(C56,ROUND(Amortización!D56*C56/Amortización!F55,2))+D56)</f>
        <v>688.89</v>
      </c>
      <c r="F56" s="37"/>
      <c r="G56" s="17" t="n">
        <f aca="false">IF(F56="",E56,F56)</f>
        <v>688.89</v>
      </c>
      <c r="H56" s="17" t="n">
        <f aca="false">G56-D56</f>
        <v>617.8</v>
      </c>
      <c r="I56" s="17" t="n">
        <f aca="false">ROUND(C56-H56,2)</f>
        <v>5560.1</v>
      </c>
    </row>
    <row r="57" customFormat="false" ht="15" hidden="false" customHeight="false" outlineLevel="0" collapsed="false">
      <c r="A57" s="38" t="n">
        <f aca="false">Amortización!A57</f>
        <v>52</v>
      </c>
      <c r="B57" s="39" t="n">
        <f aca="false">Amortización!B57</f>
        <v>47634</v>
      </c>
      <c r="C57" s="40" t="n">
        <f aca="false">I56</f>
        <v>5560.1</v>
      </c>
      <c r="D57" s="40" t="n">
        <f aca="false">ROUND(C57*Amortización!$J$6*(MAX(0,DATE(YEAR(B57),1,1)-B56)/(DATE(YEAR(B56)+1,1,1)-DATE(YEAR(B56),1,1))+(B57-MAX(B56,DATE(YEAR(B57),1,1)))/(DATE(YEAR(B57)+1,1,1)-DATE(YEAR(B57),1,1))),2)</f>
        <v>66.11</v>
      </c>
      <c r="E57" s="40" t="n">
        <f aca="false">IF(C57&lt;=0,0,MIN(C57,ROUND(Amortización!D57*C57/Amortización!F56,2))+D57)</f>
        <v>683.91</v>
      </c>
      <c r="F57" s="37"/>
      <c r="G57" s="40" t="n">
        <f aca="false">IF(F57="",E57,F57)</f>
        <v>683.91</v>
      </c>
      <c r="H57" s="40" t="n">
        <f aca="false">G57-D57</f>
        <v>617.8</v>
      </c>
      <c r="I57" s="40" t="n">
        <f aca="false">ROUND(C57-H57,2)</f>
        <v>4942.3</v>
      </c>
    </row>
    <row r="58" customFormat="false" ht="15" hidden="false" customHeight="false" outlineLevel="0" collapsed="false">
      <c r="A58" s="33" t="n">
        <f aca="false">Amortización!A58</f>
        <v>53</v>
      </c>
      <c r="B58" s="34" t="n">
        <f aca="false">Amortización!B58</f>
        <v>47664</v>
      </c>
      <c r="C58" s="17" t="n">
        <f aca="false">I57</f>
        <v>4942.3</v>
      </c>
      <c r="D58" s="17" t="n">
        <f aca="false">ROUND(C58*Amortización!$J$6*(MAX(0,DATE(YEAR(B58),1,1)-B57)/(DATE(YEAR(B57)+1,1,1)-DATE(YEAR(B57),1,1))+(B58-MAX(B57,DATE(YEAR(B58),1,1)))/(DATE(YEAR(B58)+1,1,1)-DATE(YEAR(B58),1,1))),2)</f>
        <v>56.87</v>
      </c>
      <c r="E58" s="17" t="n">
        <f aca="false">IF(C58&lt;=0,0,MIN(C58,ROUND(Amortización!D58*C58/Amortización!F57,2))+D58)</f>
        <v>674.67</v>
      </c>
      <c r="F58" s="37"/>
      <c r="G58" s="17" t="n">
        <f aca="false">IF(F58="",E58,F58)</f>
        <v>674.67</v>
      </c>
      <c r="H58" s="17" t="n">
        <f aca="false">G58-D58</f>
        <v>617.8</v>
      </c>
      <c r="I58" s="17" t="n">
        <f aca="false">ROUND(C58-H58,2)</f>
        <v>4324.5</v>
      </c>
    </row>
    <row r="59" customFormat="false" ht="15" hidden="false" customHeight="false" outlineLevel="0" collapsed="false">
      <c r="A59" s="38" t="n">
        <f aca="false">Amortización!A59</f>
        <v>54</v>
      </c>
      <c r="B59" s="39" t="n">
        <f aca="false">Amortización!B59</f>
        <v>47695</v>
      </c>
      <c r="C59" s="40" t="n">
        <f aca="false">I58</f>
        <v>4324.5</v>
      </c>
      <c r="D59" s="40" t="n">
        <f aca="false">ROUND(C59*Amortización!$J$6*(MAX(0,DATE(YEAR(B59),1,1)-B58)/(DATE(YEAR(B58)+1,1,1)-DATE(YEAR(B58),1,1))+(B59-MAX(B58,DATE(YEAR(B59),1,1)))/(DATE(YEAR(B59)+1,1,1)-DATE(YEAR(B59),1,1))),2)</f>
        <v>51.42</v>
      </c>
      <c r="E59" s="40" t="n">
        <f aca="false">IF(C59&lt;=0,0,MIN(C59,ROUND(Amortización!D59*C59/Amortización!F58,2))+D59)</f>
        <v>669.22</v>
      </c>
      <c r="F59" s="37"/>
      <c r="G59" s="40" t="n">
        <f aca="false">IF(F59="",E59,F59)</f>
        <v>669.22</v>
      </c>
      <c r="H59" s="40" t="n">
        <f aca="false">G59-D59</f>
        <v>617.8</v>
      </c>
      <c r="I59" s="40" t="n">
        <f aca="false">ROUND(C59-H59,2)</f>
        <v>3706.7</v>
      </c>
    </row>
    <row r="60" customFormat="false" ht="15" hidden="false" customHeight="false" outlineLevel="0" collapsed="false">
      <c r="A60" s="33" t="n">
        <f aca="false">Amortización!A60</f>
        <v>55</v>
      </c>
      <c r="B60" s="34" t="n">
        <f aca="false">Amortización!B60</f>
        <v>47726</v>
      </c>
      <c r="C60" s="17" t="n">
        <f aca="false">I59</f>
        <v>3706.7</v>
      </c>
      <c r="D60" s="17" t="n">
        <f aca="false">ROUND(C60*Amortización!$J$6*(MAX(0,DATE(YEAR(B60),1,1)-B59)/(DATE(YEAR(B59)+1,1,1)-DATE(YEAR(B59),1,1))+(B60-MAX(B59,DATE(YEAR(B60),1,1)))/(DATE(YEAR(B60)+1,1,1)-DATE(YEAR(B60),1,1))),2)</f>
        <v>44.07</v>
      </c>
      <c r="E60" s="17" t="n">
        <f aca="false">IF(C60&lt;=0,0,MIN(C60,ROUND(Amortización!D60*C60/Amortización!F59,2))+D60)</f>
        <v>661.87</v>
      </c>
      <c r="F60" s="37"/>
      <c r="G60" s="17" t="n">
        <f aca="false">IF(F60="",E60,F60)</f>
        <v>661.87</v>
      </c>
      <c r="H60" s="17" t="n">
        <f aca="false">G60-D60</f>
        <v>617.8</v>
      </c>
      <c r="I60" s="17" t="n">
        <f aca="false">ROUND(C60-H60,2)</f>
        <v>3088.9</v>
      </c>
    </row>
    <row r="61" customFormat="false" ht="15" hidden="false" customHeight="false" outlineLevel="0" collapsed="false">
      <c r="A61" s="38" t="n">
        <f aca="false">Amortización!A61</f>
        <v>56</v>
      </c>
      <c r="B61" s="39" t="n">
        <f aca="false">Amortización!B61</f>
        <v>47756</v>
      </c>
      <c r="C61" s="40" t="n">
        <f aca="false">I60</f>
        <v>3088.9</v>
      </c>
      <c r="D61" s="40" t="n">
        <f aca="false">ROUND(C61*Amortización!$J$6*(MAX(0,DATE(YEAR(B61),1,1)-B60)/(DATE(YEAR(B60)+1,1,1)-DATE(YEAR(B60),1,1))+(B61-MAX(B60,DATE(YEAR(B61),1,1)))/(DATE(YEAR(B61)+1,1,1)-DATE(YEAR(B61),1,1))),2)</f>
        <v>35.54</v>
      </c>
      <c r="E61" s="40" t="n">
        <f aca="false">IF(C61&lt;=0,0,MIN(C61,ROUND(Amortización!D61*C61/Amortización!F60,2))+D61)</f>
        <v>653.33</v>
      </c>
      <c r="F61" s="37"/>
      <c r="G61" s="40" t="n">
        <f aca="false">IF(F61="",E61,F61)</f>
        <v>653.33</v>
      </c>
      <c r="H61" s="40" t="n">
        <f aca="false">G61-D61</f>
        <v>617.79</v>
      </c>
      <c r="I61" s="40" t="n">
        <f aca="false">ROUND(C61-H61,2)</f>
        <v>2471.11</v>
      </c>
    </row>
    <row r="62" customFormat="false" ht="15" hidden="false" customHeight="false" outlineLevel="0" collapsed="false">
      <c r="A62" s="33" t="n">
        <f aca="false">Amortización!A62</f>
        <v>57</v>
      </c>
      <c r="B62" s="34" t="n">
        <f aca="false">Amortización!B62</f>
        <v>47787</v>
      </c>
      <c r="C62" s="17" t="n">
        <f aca="false">I61</f>
        <v>2471.11</v>
      </c>
      <c r="D62" s="17" t="n">
        <f aca="false">ROUND(C62*Amortización!$J$6*(MAX(0,DATE(YEAR(B62),1,1)-B61)/(DATE(YEAR(B61)+1,1,1)-DATE(YEAR(B61),1,1))+(B62-MAX(B61,DATE(YEAR(B62),1,1)))/(DATE(YEAR(B62)+1,1,1)-DATE(YEAR(B62),1,1))),2)</f>
        <v>29.38</v>
      </c>
      <c r="E62" s="17" t="n">
        <f aca="false">IF(C62&lt;=0,0,MIN(C62,ROUND(Amortización!D62*C62/Amortización!F61,2))+D62)</f>
        <v>647.18</v>
      </c>
      <c r="F62" s="37"/>
      <c r="G62" s="17" t="n">
        <f aca="false">IF(F62="",E62,F62)</f>
        <v>647.18</v>
      </c>
      <c r="H62" s="17" t="n">
        <f aca="false">G62-D62</f>
        <v>617.8</v>
      </c>
      <c r="I62" s="17" t="n">
        <f aca="false">ROUND(C62-H62,2)</f>
        <v>1853.31</v>
      </c>
    </row>
    <row r="63" customFormat="false" ht="15" hidden="false" customHeight="false" outlineLevel="0" collapsed="false">
      <c r="A63" s="38" t="n">
        <f aca="false">Amortización!A63</f>
        <v>58</v>
      </c>
      <c r="B63" s="39" t="n">
        <f aca="false">Amortización!B63</f>
        <v>47817</v>
      </c>
      <c r="C63" s="40" t="n">
        <f aca="false">I62</f>
        <v>1853.31</v>
      </c>
      <c r="D63" s="40" t="n">
        <f aca="false">ROUND(C63*Amortización!$J$6*(MAX(0,DATE(YEAR(B63),1,1)-B62)/(DATE(YEAR(B62)+1,1,1)-DATE(YEAR(B62),1,1))+(B63-MAX(B62,DATE(YEAR(B63),1,1)))/(DATE(YEAR(B63)+1,1,1)-DATE(YEAR(B63),1,1))),2)</f>
        <v>21.33</v>
      </c>
      <c r="E63" s="40" t="n">
        <f aca="false">IF(C63&lt;=0,0,MIN(C63,ROUND(Amortización!D63*C63/Amortización!F62,2))+D63)</f>
        <v>639.12</v>
      </c>
      <c r="F63" s="37"/>
      <c r="G63" s="40" t="n">
        <f aca="false">IF(F63="",E63,F63)</f>
        <v>639.12</v>
      </c>
      <c r="H63" s="40" t="n">
        <f aca="false">G63-D63</f>
        <v>617.79</v>
      </c>
      <c r="I63" s="40" t="n">
        <f aca="false">ROUND(C63-H63,2)</f>
        <v>1235.52</v>
      </c>
    </row>
    <row r="64" customFormat="false" ht="15" hidden="false" customHeight="false" outlineLevel="0" collapsed="false">
      <c r="A64" s="33" t="n">
        <f aca="false">Amortización!A64</f>
        <v>59</v>
      </c>
      <c r="B64" s="34" t="n">
        <f aca="false">Amortización!B64</f>
        <v>47848</v>
      </c>
      <c r="C64" s="17" t="n">
        <f aca="false">I63</f>
        <v>1235.52</v>
      </c>
      <c r="D64" s="17" t="n">
        <f aca="false">ROUND(C64*Amortización!$J$6*(MAX(0,DATE(YEAR(B64),1,1)-B63)/(DATE(YEAR(B63)+1,1,1)-DATE(YEAR(B63),1,1))+(B64-MAX(B63,DATE(YEAR(B64),1,1)))/(DATE(YEAR(B64)+1,1,1)-DATE(YEAR(B64),1,1))),2)</f>
        <v>14.69</v>
      </c>
      <c r="E64" s="17" t="n">
        <f aca="false">IF(C64&lt;=0,0,MIN(C64,ROUND(Amortización!D64*C64/Amortización!F63,2))+D64)</f>
        <v>632.49</v>
      </c>
      <c r="F64" s="37"/>
      <c r="G64" s="17" t="n">
        <f aca="false">IF(F64="",E64,F64)</f>
        <v>632.49</v>
      </c>
      <c r="H64" s="17" t="n">
        <f aca="false">G64-D64</f>
        <v>617.8</v>
      </c>
      <c r="I64" s="17" t="n">
        <f aca="false">ROUND(C64-H64,2)</f>
        <v>617.72</v>
      </c>
    </row>
    <row r="65" customFormat="false" ht="15" hidden="false" customHeight="false" outlineLevel="0" collapsed="false">
      <c r="A65" s="38" t="n">
        <f aca="false">Amortización!A65</f>
        <v>60</v>
      </c>
      <c r="B65" s="39" t="n">
        <f aca="false">Amortización!B65</f>
        <v>47879</v>
      </c>
      <c r="C65" s="40" t="n">
        <f aca="false">I64</f>
        <v>617.72</v>
      </c>
      <c r="D65" s="40" t="n">
        <f aca="false">ROUND(C65*Amortización!$J$6*(MAX(0,DATE(YEAR(B65),1,1)-B64)/(DATE(YEAR(B64)+1,1,1)-DATE(YEAR(B64),1,1))+(B65-MAX(B64,DATE(YEAR(B65),1,1)))/(DATE(YEAR(B65)+1,1,1)-DATE(YEAR(B65),1,1))),2)</f>
        <v>7.34</v>
      </c>
      <c r="E65" s="40" t="n">
        <f aca="false">IF(C65&lt;=0,0,MIN(C65,ROUND(Amortización!D65*C65/Amortización!F64,2))+D65)</f>
        <v>625.06</v>
      </c>
      <c r="F65" s="37"/>
      <c r="G65" s="40" t="n">
        <f aca="false">IF(F65="",E65,F65)</f>
        <v>625.06</v>
      </c>
      <c r="H65" s="40" t="n">
        <f aca="false">G65-D65</f>
        <v>617.72</v>
      </c>
      <c r="I65" s="40" t="n">
        <f aca="false">ROUND(C65-H65,2)</f>
        <v>0</v>
      </c>
    </row>
    <row r="66" customFormat="false" ht="15" hidden="false" customHeight="false" outlineLevel="0" collapsed="false">
      <c r="A66" s="27"/>
      <c r="B66" s="28" t="s">
        <v>40</v>
      </c>
      <c r="C66" s="27"/>
      <c r="D66" s="29" t="n">
        <f aca="false">SUM(D6:D65)</f>
        <v>13788.04</v>
      </c>
      <c r="E66" s="27"/>
      <c r="F66" s="29" t="n">
        <f aca="false">SUM(F6:F65)</f>
        <v>20729.2</v>
      </c>
      <c r="G66" s="29" t="n">
        <f aca="false">SUM(G6:G65)</f>
        <v>62788.04</v>
      </c>
      <c r="H66" s="29" t="n">
        <f aca="false">SUM(H6:H65)</f>
        <v>49000</v>
      </c>
      <c r="I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9" min="5" style="0" width="13"/>
    <col collapsed="false" customWidth="true" hidden="false" outlineLevel="0" max="10" min="10" style="0" width="3"/>
    <col collapsed="false" customWidth="true" hidden="false" outlineLevel="0" max="11" min="11" style="0" width="38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30" t="s">
        <v>2</v>
      </c>
      <c r="B4" s="30" t="s">
        <v>3</v>
      </c>
      <c r="C4" s="30" t="s">
        <v>43</v>
      </c>
      <c r="D4" s="30" t="s">
        <v>6</v>
      </c>
      <c r="E4" s="30" t="s">
        <v>44</v>
      </c>
      <c r="F4" s="31" t="s">
        <v>45</v>
      </c>
      <c r="G4" s="30" t="s">
        <v>46</v>
      </c>
      <c r="H4" s="30" t="s">
        <v>47</v>
      </c>
      <c r="I4" s="30" t="s">
        <v>26</v>
      </c>
      <c r="K4" s="32" t="s">
        <v>63</v>
      </c>
      <c r="L4" s="5"/>
    </row>
    <row r="5" customFormat="false" ht="15" hidden="false" customHeight="false" outlineLevel="0" collapsed="false">
      <c r="A5" s="33" t="n">
        <f aca="false">Amortización!A5</f>
        <v>0</v>
      </c>
      <c r="B5" s="34" t="n">
        <f aca="false">Amortización!B5</f>
        <v>46053</v>
      </c>
      <c r="C5" s="35"/>
      <c r="D5" s="35"/>
      <c r="E5" s="35"/>
      <c r="F5" s="35"/>
      <c r="G5" s="35"/>
      <c r="H5" s="35"/>
      <c r="I5" s="36" t="n">
        <f aca="false">Amortización!$J$30</f>
        <v>51000</v>
      </c>
      <c r="K5" s="10" t="s">
        <v>49</v>
      </c>
      <c r="L5" s="36" t="n">
        <f aca="false">Amortización!$J$26</f>
        <v>50000</v>
      </c>
    </row>
    <row r="6" customFormat="false" ht="15" hidden="false" customHeight="false" outlineLevel="0" collapsed="false">
      <c r="A6" s="33" t="n">
        <f aca="false">Amortización!A6</f>
        <v>1</v>
      </c>
      <c r="B6" s="34" t="n">
        <f aca="false">Amortización!B6</f>
        <v>46081</v>
      </c>
      <c r="C6" s="17" t="n">
        <f aca="false">I5</f>
        <v>51000</v>
      </c>
      <c r="D6" s="17" t="n">
        <f aca="false">ROUND((Gaby!C6+C6)*Amortización!$J$6*(MAX(0,DATE(YEAR(B6),1,1)-B5)/(DATE(YEAR(B5)+1,1,1)-DATE(YEAR(B5),1,1))+(B6-MAX(B5,DATE(YEAR(B6),1,1)))/(DATE(YEAR(B6)+1,1,1)-DATE(YEAR(B6),1,1))),2)-Gaby!D6</f>
        <v>547.72</v>
      </c>
      <c r="E6" s="17" t="n">
        <f aca="false">IF(C6&lt;=0,0,MIN(C6,ROUND(Amortización!D6*(Gaby!C6+C6)/Amortización!F5,2)-(Gaby!E6-Gaby!D6))+D6)</f>
        <v>1397.72</v>
      </c>
      <c r="F6" s="44" t="n">
        <f aca="false">IF(Gaby!F6="","",ROUND(Amortización!C6-Gaby!F6,2))</f>
        <v>62.79</v>
      </c>
      <c r="G6" s="17" t="n">
        <f aca="false">IF(F6="",E6,F6)</f>
        <v>62.79</v>
      </c>
      <c r="H6" s="17" t="n">
        <f aca="false">G6-D6</f>
        <v>-484.93</v>
      </c>
      <c r="I6" s="17" t="n">
        <f aca="false">ROUND(C6-H6,2)</f>
        <v>51484.93</v>
      </c>
      <c r="K6" s="10" t="s">
        <v>50</v>
      </c>
      <c r="L6" s="36" t="n">
        <f aca="false">Amortización!$J$24*(1-Amortización!$J$28)</f>
        <v>1000</v>
      </c>
    </row>
    <row r="7" customFormat="false" ht="15" hidden="false" customHeight="false" outlineLevel="0" collapsed="false">
      <c r="A7" s="38" t="n">
        <f aca="false">Amortización!A7</f>
        <v>2</v>
      </c>
      <c r="B7" s="39" t="n">
        <f aca="false">Amortización!B7</f>
        <v>46112</v>
      </c>
      <c r="C7" s="40" t="n">
        <f aca="false">I6</f>
        <v>51484.93</v>
      </c>
      <c r="D7" s="40" t="n">
        <f aca="false">ROUND((Gaby!C7+C7)*Amortización!$J$6*(MAX(0,DATE(YEAR(B7),1,1)-B6)/(DATE(YEAR(B6)+1,1,1)-DATE(YEAR(B6),1,1))+(B7-MAX(B6,DATE(YEAR(B7),1,1)))/(DATE(YEAR(B7)+1,1,1)-DATE(YEAR(B7),1,1))),2)-Gaby!D7</f>
        <v>612.17</v>
      </c>
      <c r="E7" s="40" t="n">
        <f aca="false">IF(C7&lt;=0,0,MIN(C7,ROUND(Amortización!D7*(Gaby!C7+C7)/Amortización!F6,2)-(Gaby!E7-Gaby!D7))+D7)</f>
        <v>1484.8</v>
      </c>
      <c r="F7" s="44" t="n">
        <f aca="false">IF(Gaby!F7="","",ROUND(Amortización!C7-Gaby!F7,2))</f>
        <v>182.81</v>
      </c>
      <c r="G7" s="40" t="n">
        <f aca="false">IF(F7="",E7,F7)</f>
        <v>182.81</v>
      </c>
      <c r="H7" s="40" t="n">
        <f aca="false">G7-D7</f>
        <v>-429.36</v>
      </c>
      <c r="I7" s="40" t="n">
        <f aca="false">ROUND(C7-H7,2)</f>
        <v>51914.29</v>
      </c>
      <c r="K7" s="10" t="s">
        <v>51</v>
      </c>
      <c r="L7" s="17" t="n">
        <f aca="false">I5</f>
        <v>51000</v>
      </c>
    </row>
    <row r="8" customFormat="false" ht="15" hidden="false" customHeight="false" outlineLevel="0" collapsed="false">
      <c r="A8" s="33" t="n">
        <f aca="false">Amortización!A8</f>
        <v>3</v>
      </c>
      <c r="B8" s="34" t="n">
        <f aca="false">Amortización!B8</f>
        <v>46142</v>
      </c>
      <c r="C8" s="17" t="n">
        <f aca="false">I7</f>
        <v>51914.29</v>
      </c>
      <c r="D8" s="17" t="n">
        <f aca="false">ROUND((Gaby!C8+C8)*Amortización!$J$6*(MAX(0,DATE(YEAR(B8),1,1)-B7)/(DATE(YEAR(B7)+1,1,1)-DATE(YEAR(B7),1,1))+(B8-MAX(B7,DATE(YEAR(B8),1,1)))/(DATE(YEAR(B8)+1,1,1)-DATE(YEAR(B8),1,1))),2)-Gaby!D8</f>
        <v>597.37</v>
      </c>
      <c r="E8" s="17" t="n">
        <f aca="false">IF(C8&lt;=0,0,MIN(C8,ROUND(Amortización!D8*(Gaby!C8+C8)/Amortización!F7,2)-(Gaby!E8-Gaby!D8))+D8)</f>
        <v>1492.45</v>
      </c>
      <c r="F8" s="44" t="n">
        <f aca="false">IF(Gaby!F8="","",ROUND(Amortización!C8-Gaby!F8,2))</f>
        <v>150.69</v>
      </c>
      <c r="G8" s="17" t="n">
        <f aca="false">IF(F8="",E8,F8)</f>
        <v>150.69</v>
      </c>
      <c r="H8" s="17" t="n">
        <f aca="false">G8-D8</f>
        <v>-446.68</v>
      </c>
      <c r="I8" s="17" t="n">
        <f aca="false">ROUND(C8-H8,2)</f>
        <v>52360.97</v>
      </c>
    </row>
    <row r="9" customFormat="false" ht="15" hidden="false" customHeight="false" outlineLevel="0" collapsed="false">
      <c r="A9" s="38" t="n">
        <f aca="false">Amortización!A9</f>
        <v>4</v>
      </c>
      <c r="B9" s="39" t="n">
        <f aca="false">Amortización!B9</f>
        <v>46173</v>
      </c>
      <c r="C9" s="40" t="n">
        <f aca="false">I8</f>
        <v>52360.97</v>
      </c>
      <c r="D9" s="40" t="n">
        <f aca="false">ROUND((Gaby!C9+C9)*Amortización!$J$6*(MAX(0,DATE(YEAR(B9),1,1)-B8)/(DATE(YEAR(B8)+1,1,1)-DATE(YEAR(B8),1,1))+(B9-MAX(B8,DATE(YEAR(B9),1,1)))/(DATE(YEAR(B9)+1,1,1)-DATE(YEAR(B9),1,1))),2)-Gaby!D9</f>
        <v>622.59</v>
      </c>
      <c r="E9" s="40" t="n">
        <f aca="false">IF(C9&lt;=0,0,MIN(C9,ROUND(Amortización!D9*(Gaby!C9+C9)/Amortización!F8,2)-(Gaby!E9-Gaby!D9))+D9)</f>
        <v>1541.21</v>
      </c>
      <c r="F9" s="44" t="n">
        <f aca="false">IF(Gaby!F9="","",ROUND(Amortización!C9-Gaby!F9,2))</f>
        <v>192.72</v>
      </c>
      <c r="G9" s="40" t="n">
        <f aca="false">IF(F9="",E9,F9)</f>
        <v>192.72</v>
      </c>
      <c r="H9" s="40" t="n">
        <f aca="false">G9-D9</f>
        <v>-429.87</v>
      </c>
      <c r="I9" s="40" t="n">
        <f aca="false">ROUND(C9-H9,2)</f>
        <v>52790.84</v>
      </c>
      <c r="K9" s="32" t="s">
        <v>52</v>
      </c>
      <c r="L9" s="5"/>
    </row>
    <row r="10" customFormat="false" ht="15" hidden="false" customHeight="false" outlineLevel="0" collapsed="false">
      <c r="A10" s="33" t="n">
        <f aca="false">Amortización!A10</f>
        <v>5</v>
      </c>
      <c r="B10" s="34" t="n">
        <f aca="false">Amortización!B10</f>
        <v>46203</v>
      </c>
      <c r="C10" s="17" t="n">
        <f aca="false">I9</f>
        <v>52790.84</v>
      </c>
      <c r="D10" s="17" t="n">
        <f aca="false">ROUND((Gaby!C10+C10)*Amortización!$J$6*(MAX(0,DATE(YEAR(B10),1,1)-B9)/(DATE(YEAR(B9)+1,1,1)-DATE(YEAR(B9),1,1))+(B10-MAX(B9,DATE(YEAR(B10),1,1)))/(DATE(YEAR(B10)+1,1,1)-DATE(YEAR(B10),1,1))),2)-Gaby!D10</f>
        <v>607.45</v>
      </c>
      <c r="E10" s="17" t="n">
        <f aca="false">IF(C10&lt;=0,0,MIN(C10,ROUND(Amortización!D10*(Gaby!C10+C10)/Amortización!F9,2)-(Gaby!E10-Gaby!D10))+D10)</f>
        <v>1550.15</v>
      </c>
      <c r="F10" s="44" t="n">
        <f aca="false">IF(Gaby!F10="","",ROUND(Amortización!C10-Gaby!F10,2))</f>
        <v>161.88</v>
      </c>
      <c r="G10" s="17" t="n">
        <f aca="false">IF(F10="",E10,F10)</f>
        <v>161.88</v>
      </c>
      <c r="H10" s="17" t="n">
        <f aca="false">G10-D10</f>
        <v>-445.57</v>
      </c>
      <c r="I10" s="17" t="n">
        <f aca="false">ROUND(C10-H10,2)</f>
        <v>53236.41</v>
      </c>
      <c r="K10" s="10" t="s">
        <v>53</v>
      </c>
      <c r="L10" s="41" t="n">
        <f aca="false">COUNT(F6:F65)</f>
        <v>8</v>
      </c>
    </row>
    <row r="11" customFormat="false" ht="15" hidden="false" customHeight="false" outlineLevel="0" collapsed="false">
      <c r="A11" s="38" t="n">
        <f aca="false">Amortización!A11</f>
        <v>6</v>
      </c>
      <c r="B11" s="39" t="n">
        <f aca="false">Amortización!B11</f>
        <v>46234</v>
      </c>
      <c r="C11" s="40" t="n">
        <f aca="false">I10</f>
        <v>53236.41</v>
      </c>
      <c r="D11" s="40" t="n">
        <f aca="false">ROUND((Gaby!C11+C11)*Amortización!$J$6*(MAX(0,DATE(YEAR(B11),1,1)-B10)/(DATE(YEAR(B10)+1,1,1)-DATE(YEAR(B10),1,1))+(B11-MAX(B10,DATE(YEAR(B11),1,1)))/(DATE(YEAR(B11)+1,1,1)-DATE(YEAR(B11),1,1))),2)-Gaby!D11</f>
        <v>633</v>
      </c>
      <c r="E11" s="40" t="n">
        <f aca="false">IF(C11&lt;=0,0,MIN(C11,ROUND(Amortización!D11*(Gaby!C11+C11)/Amortización!F10,2)-(Gaby!E11-Gaby!D11))+D11)</f>
        <v>1600.94</v>
      </c>
      <c r="F11" s="44" t="n">
        <f aca="false">IF(Gaby!F11="","",ROUND(Amortización!C11-Gaby!F11,2))</f>
        <v>202.63</v>
      </c>
      <c r="G11" s="40" t="n">
        <f aca="false">IF(F11="",E11,F11)</f>
        <v>202.63</v>
      </c>
      <c r="H11" s="40" t="n">
        <f aca="false">G11-D11</f>
        <v>-430.37</v>
      </c>
      <c r="I11" s="40" t="n">
        <f aca="false">ROUND(C11-H11,2)</f>
        <v>53666.78</v>
      </c>
      <c r="K11" s="10" t="s">
        <v>54</v>
      </c>
      <c r="L11" s="17" t="n">
        <f aca="false">SUM(F6:F65)</f>
        <v>1339.77</v>
      </c>
    </row>
    <row r="12" customFormat="false" ht="15" hidden="false" customHeight="false" outlineLevel="0" collapsed="false">
      <c r="A12" s="33" t="n">
        <f aca="false">Amortización!A12</f>
        <v>7</v>
      </c>
      <c r="B12" s="34" t="n">
        <f aca="false">Amortización!B12</f>
        <v>46265</v>
      </c>
      <c r="C12" s="17" t="n">
        <f aca="false">I11</f>
        <v>53666.78</v>
      </c>
      <c r="D12" s="17" t="n">
        <f aca="false">ROUND((Gaby!C12+C12)*Amortización!$J$6*(MAX(0,DATE(YEAR(B12),1,1)-B11)/(DATE(YEAR(B11)+1,1,1)-DATE(YEAR(B11),1,1))+(B12-MAX(B11,DATE(YEAR(B12),1,1)))/(DATE(YEAR(B12)+1,1,1)-DATE(YEAR(B12),1,1))),2)-Gaby!D12</f>
        <v>638.12</v>
      </c>
      <c r="E12" s="17" t="n">
        <f aca="false">IF(C12&lt;=0,0,MIN(C12,ROUND(Amortización!D12*(Gaby!C12+C12)/Amortización!F11,2)-(Gaby!E12-Gaby!D12))+D12)</f>
        <v>1631.95</v>
      </c>
      <c r="F12" s="44" t="n">
        <f aca="false">IF(Gaby!F12="","",ROUND(Amortización!C12-Gaby!F12,2))</f>
        <v>207.59</v>
      </c>
      <c r="G12" s="17" t="n">
        <f aca="false">IF(F12="",E12,F12)</f>
        <v>207.59</v>
      </c>
      <c r="H12" s="17" t="n">
        <f aca="false">G12-D12</f>
        <v>-430.53</v>
      </c>
      <c r="I12" s="17" t="n">
        <f aca="false">ROUND(C12-H12,2)</f>
        <v>54097.31</v>
      </c>
      <c r="K12" s="10" t="s">
        <v>55</v>
      </c>
      <c r="L12" s="17" t="n">
        <f aca="false">SUMPRODUCT((F6:F65&lt;&gt;"")*D6:D65)</f>
        <v>4880.91</v>
      </c>
    </row>
    <row r="13" customFormat="false" ht="15" hidden="false" customHeight="false" outlineLevel="0" collapsed="false">
      <c r="A13" s="38" t="n">
        <f aca="false">Amortización!A13</f>
        <v>8</v>
      </c>
      <c r="B13" s="39" t="n">
        <f aca="false">Amortización!B13</f>
        <v>46295</v>
      </c>
      <c r="C13" s="40" t="n">
        <f aca="false">I12</f>
        <v>54097.31</v>
      </c>
      <c r="D13" s="40" t="n">
        <f aca="false">ROUND((Gaby!C13+C13)*Amortización!$J$6*(MAX(0,DATE(YEAR(B13),1,1)-B12)/(DATE(YEAR(B12)+1,1,1)-DATE(YEAR(B12),1,1))+(B13-MAX(B12,DATE(YEAR(B13),1,1)))/(DATE(YEAR(B13)+1,1,1)-DATE(YEAR(B13),1,1))),2)-Gaby!D13</f>
        <v>622.49</v>
      </c>
      <c r="E13" s="40" t="n">
        <f aca="false">IF(C13&lt;=0,0,MIN(C13,ROUND(Amortización!D13*(Gaby!C13+C13)/Amortización!F12,2)-(Gaby!E13-Gaby!D13))+D13)</f>
        <v>1643.2</v>
      </c>
      <c r="F13" s="44" t="n">
        <f aca="false">IF(Gaby!F13="","",ROUND(Amortización!C13-Gaby!F13,2))</f>
        <v>178.66</v>
      </c>
      <c r="G13" s="40" t="n">
        <f aca="false">IF(F13="",E13,F13)</f>
        <v>178.66</v>
      </c>
      <c r="H13" s="40" t="n">
        <f aca="false">G13-D13</f>
        <v>-443.83</v>
      </c>
      <c r="I13" s="40" t="n">
        <f aca="false">ROUND(C13-H13,2)</f>
        <v>54541.14</v>
      </c>
      <c r="K13" s="10" t="s">
        <v>47</v>
      </c>
      <c r="L13" s="17" t="n">
        <f aca="false">SUMPRODUCT((F6:F65&lt;&gt;"")*H6:H65)</f>
        <v>-3541.14</v>
      </c>
    </row>
    <row r="14" customFormat="false" ht="15" hidden="false" customHeight="false" outlineLevel="0" collapsed="false">
      <c r="A14" s="33" t="n">
        <f aca="false">Amortización!A14</f>
        <v>9</v>
      </c>
      <c r="B14" s="34" t="n">
        <f aca="false">Amortización!B14</f>
        <v>46326</v>
      </c>
      <c r="C14" s="17" t="n">
        <f aca="false">I13</f>
        <v>54541.14</v>
      </c>
      <c r="D14" s="17" t="n">
        <f aca="false">ROUND((Gaby!C14+C14)*Amortización!$J$6*(MAX(0,DATE(YEAR(B14),1,1)-B13)/(DATE(YEAR(B13)+1,1,1)-DATE(YEAR(B13),1,1))+(B14-MAX(B13,DATE(YEAR(B14),1,1)))/(DATE(YEAR(B14)+1,1,1)-DATE(YEAR(B14),1,1))),2)-Gaby!D14</f>
        <v>648.51</v>
      </c>
      <c r="E14" s="17" t="n">
        <f aca="false">IF(C14&lt;=0,0,MIN(C14,ROUND(Amortización!D14*(Gaby!C14+C14)/Amortización!F13,2)-(Gaby!E14-Gaby!D14))+D14)</f>
        <v>1697.38</v>
      </c>
      <c r="F14" s="37"/>
      <c r="G14" s="17" t="n">
        <f aca="false">IF(F14="",E14,F14)</f>
        <v>1697.38</v>
      </c>
      <c r="H14" s="17" t="n">
        <f aca="false">G14-D14</f>
        <v>1048.87</v>
      </c>
      <c r="I14" s="17" t="n">
        <f aca="false">ROUND(C14-H14,2)</f>
        <v>53492.27</v>
      </c>
      <c r="K14" s="10" t="s">
        <v>56</v>
      </c>
      <c r="L14" s="42" t="n">
        <f aca="false">INDEX(I5:I65,L10+1)</f>
        <v>54541.14</v>
      </c>
    </row>
    <row r="15" customFormat="false" ht="15" hidden="false" customHeight="false" outlineLevel="0" collapsed="false">
      <c r="A15" s="38" t="n">
        <f aca="false">Amortización!A15</f>
        <v>10</v>
      </c>
      <c r="B15" s="39" t="n">
        <f aca="false">Amortización!B15</f>
        <v>46356</v>
      </c>
      <c r="C15" s="40" t="n">
        <f aca="false">I14</f>
        <v>53492.27</v>
      </c>
      <c r="D15" s="40" t="n">
        <f aca="false">ROUND((Gaby!C15+C15)*Amortización!$J$6*(MAX(0,DATE(YEAR(B15),1,1)-B14)/(DATE(YEAR(B14)+1,1,1)-DATE(YEAR(B14),1,1))+(B15-MAX(B14,DATE(YEAR(B15),1,1)))/(DATE(YEAR(B15)+1,1,1)-DATE(YEAR(B15),1,1))),2)-Gaby!D15</f>
        <v>615.53</v>
      </c>
      <c r="E15" s="40" t="n">
        <f aca="false">IF(C15&lt;=0,0,MIN(C15,ROUND(Amortización!D15*(Gaby!C15+C15)/Amortización!F14,2)-(Gaby!E15-Gaby!D15))+D15)</f>
        <v>1664.4</v>
      </c>
      <c r="F15" s="37"/>
      <c r="G15" s="40" t="n">
        <f aca="false">IF(F15="",E15,F15)</f>
        <v>1664.4</v>
      </c>
      <c r="H15" s="40" t="n">
        <f aca="false">G15-D15</f>
        <v>1048.87</v>
      </c>
      <c r="I15" s="40" t="n">
        <f aca="false">ROUND(C15-H15,2)</f>
        <v>52443.4</v>
      </c>
    </row>
    <row r="16" customFormat="false" ht="15" hidden="false" customHeight="false" outlineLevel="0" collapsed="false">
      <c r="A16" s="33" t="n">
        <f aca="false">Amortización!A16</f>
        <v>11</v>
      </c>
      <c r="B16" s="34" t="n">
        <f aca="false">Amortización!B16</f>
        <v>46387</v>
      </c>
      <c r="C16" s="17" t="n">
        <f aca="false">I15</f>
        <v>52443.4</v>
      </c>
      <c r="D16" s="17" t="n">
        <f aca="false">ROUND((Gaby!C16+C16)*Amortización!$J$6*(MAX(0,DATE(YEAR(B16),1,1)-B15)/(DATE(YEAR(B15)+1,1,1)-DATE(YEAR(B15),1,1))+(B16-MAX(B15,DATE(YEAR(B16),1,1)))/(DATE(YEAR(B16)+1,1,1)-DATE(YEAR(B16),1,1))),2)-Gaby!D16</f>
        <v>623.58</v>
      </c>
      <c r="E16" s="17" t="n">
        <f aca="false">IF(C16&lt;=0,0,MIN(C16,ROUND(Amortización!D16*(Gaby!C16+C16)/Amortización!F15,2)-(Gaby!E16-Gaby!D16))+D16)</f>
        <v>1672.45</v>
      </c>
      <c r="F16" s="37"/>
      <c r="G16" s="17" t="n">
        <f aca="false">IF(F16="",E16,F16)</f>
        <v>1672.45</v>
      </c>
      <c r="H16" s="17" t="n">
        <f aca="false">G16-D16</f>
        <v>1048.87</v>
      </c>
      <c r="I16" s="17" t="n">
        <f aca="false">ROUND(C16-H16,2)</f>
        <v>51394.53</v>
      </c>
      <c r="K16" s="32" t="s">
        <v>57</v>
      </c>
      <c r="L16" s="5"/>
    </row>
    <row r="17" customFormat="false" ht="15" hidden="false" customHeight="false" outlineLevel="0" collapsed="false">
      <c r="A17" s="38" t="n">
        <f aca="false">Amortización!A17</f>
        <v>12</v>
      </c>
      <c r="B17" s="39" t="n">
        <f aca="false">Amortización!B17</f>
        <v>46418</v>
      </c>
      <c r="C17" s="40" t="n">
        <f aca="false">I16</f>
        <v>51394.53</v>
      </c>
      <c r="D17" s="40" t="n">
        <f aca="false">ROUND((Gaby!C17+C17)*Amortización!$J$6*(MAX(0,DATE(YEAR(B17),1,1)-B16)/(DATE(YEAR(B16)+1,1,1)-DATE(YEAR(B16),1,1))+(B17-MAX(B16,DATE(YEAR(B17),1,1)))/(DATE(YEAR(B17)+1,1,1)-DATE(YEAR(B17),1,1))),2)-Gaby!D17</f>
        <v>611.1</v>
      </c>
      <c r="E17" s="40" t="n">
        <f aca="false">IF(C17&lt;=0,0,MIN(C17,ROUND(Amortización!D17*(Gaby!C17+C17)/Amortización!F16,2)-(Gaby!E17-Gaby!D17))+D17)</f>
        <v>1659.97</v>
      </c>
      <c r="F17" s="37"/>
      <c r="G17" s="40" t="n">
        <f aca="false">IF(F17="",E17,F17)</f>
        <v>1659.97</v>
      </c>
      <c r="H17" s="40" t="n">
        <f aca="false">G17-D17</f>
        <v>1048.87</v>
      </c>
      <c r="I17" s="40" t="n">
        <f aca="false">ROUND(C17-H17,2)</f>
        <v>50345.66</v>
      </c>
      <c r="K17" s="10" t="s">
        <v>3</v>
      </c>
      <c r="L17" s="22" t="n">
        <f aca="false">IF(L10&gt;=60,"",INDEX(B6:B65,L10+1))</f>
        <v>46326</v>
      </c>
    </row>
    <row r="18" customFormat="false" ht="15" hidden="false" customHeight="false" outlineLevel="0" collapsed="false">
      <c r="A18" s="33" t="n">
        <f aca="false">Amortización!A18</f>
        <v>13</v>
      </c>
      <c r="B18" s="34" t="n">
        <f aca="false">Amortización!B18</f>
        <v>46446</v>
      </c>
      <c r="C18" s="17" t="n">
        <f aca="false">I17</f>
        <v>50345.66</v>
      </c>
      <c r="D18" s="17" t="n">
        <f aca="false">ROUND((Gaby!C18+C18)*Amortización!$J$6*(MAX(0,DATE(YEAR(B18),1,1)-B17)/(DATE(YEAR(B17)+1,1,1)-DATE(YEAR(B17),1,1))+(B18-MAX(B17,DATE(YEAR(B18),1,1)))/(DATE(YEAR(B18)+1,1,1)-DATE(YEAR(B18),1,1))),2)-Gaby!D18</f>
        <v>540.7</v>
      </c>
      <c r="E18" s="17" t="n">
        <f aca="false">IF(C18&lt;=0,0,MIN(C18,ROUND(Amortización!D18*(Gaby!C18+C18)/Amortización!F17,2)-(Gaby!E18-Gaby!D18))+D18)</f>
        <v>1589.57</v>
      </c>
      <c r="F18" s="37"/>
      <c r="G18" s="17" t="n">
        <f aca="false">IF(F18="",E18,F18)</f>
        <v>1589.57</v>
      </c>
      <c r="H18" s="17" t="n">
        <f aca="false">G18-D18</f>
        <v>1048.87</v>
      </c>
      <c r="I18" s="17" t="n">
        <f aca="false">ROUND(C18-H18,2)</f>
        <v>49296.79</v>
      </c>
      <c r="K18" s="10" t="s">
        <v>44</v>
      </c>
      <c r="L18" s="42" t="n">
        <f aca="false">IF(L10&gt;=60,"",INDEX(E6:E65,L10+1))</f>
        <v>1697.38</v>
      </c>
    </row>
    <row r="19" customFormat="false" ht="15" hidden="false" customHeight="false" outlineLevel="0" collapsed="false">
      <c r="A19" s="38" t="n">
        <f aca="false">Amortización!A19</f>
        <v>14</v>
      </c>
      <c r="B19" s="39" t="n">
        <f aca="false">Amortización!B19</f>
        <v>46477</v>
      </c>
      <c r="C19" s="40" t="n">
        <f aca="false">I18</f>
        <v>49296.79</v>
      </c>
      <c r="D19" s="40" t="n">
        <f aca="false">ROUND((Gaby!C19+C19)*Amortización!$J$6*(MAX(0,DATE(YEAR(B19),1,1)-B18)/(DATE(YEAR(B18)+1,1,1)-DATE(YEAR(B18),1,1))+(B19-MAX(B18,DATE(YEAR(B19),1,1)))/(DATE(YEAR(B19)+1,1,1)-DATE(YEAR(B19),1,1))),2)-Gaby!D19</f>
        <v>586.16</v>
      </c>
      <c r="E19" s="40" t="n">
        <f aca="false">IF(C19&lt;=0,0,MIN(C19,ROUND(Amortización!D19*(Gaby!C19+C19)/Amortización!F18,2)-(Gaby!E19-Gaby!D19))+D19)</f>
        <v>1635.03</v>
      </c>
      <c r="F19" s="37"/>
      <c r="G19" s="40" t="n">
        <f aca="false">IF(F19="",E19,F19)</f>
        <v>1635.03</v>
      </c>
      <c r="H19" s="40" t="n">
        <f aca="false">G19-D19</f>
        <v>1048.87</v>
      </c>
      <c r="I19" s="40" t="n">
        <f aca="false">ROUND(C19-H19,2)</f>
        <v>48247.92</v>
      </c>
      <c r="K19" s="10" t="s">
        <v>58</v>
      </c>
      <c r="L19" s="43" t="n">
        <f aca="false">IF(L10&gt;=60,"",INDEX(C6:C65,L10+1)+INDEX(D6:D65,L10+1))</f>
        <v>55189.65</v>
      </c>
    </row>
    <row r="20" customFormat="false" ht="15" hidden="false" customHeight="false" outlineLevel="0" collapsed="false">
      <c r="A20" s="33" t="n">
        <f aca="false">Amortización!A20</f>
        <v>15</v>
      </c>
      <c r="B20" s="34" t="n">
        <f aca="false">Amortización!B20</f>
        <v>46507</v>
      </c>
      <c r="C20" s="17" t="n">
        <f aca="false">I19</f>
        <v>48247.92</v>
      </c>
      <c r="D20" s="17" t="n">
        <f aca="false">ROUND((Gaby!C20+C20)*Amortización!$J$6*(MAX(0,DATE(YEAR(B20),1,1)-B19)/(DATE(YEAR(B19)+1,1,1)-DATE(YEAR(B19),1,1))+(B20-MAX(B19,DATE(YEAR(B20),1,1)))/(DATE(YEAR(B20)+1,1,1)-DATE(YEAR(B20),1,1))),2)-Gaby!D20</f>
        <v>555.18</v>
      </c>
      <c r="E20" s="17" t="n">
        <f aca="false">IF(C20&lt;=0,0,MIN(C20,ROUND(Amortización!D20*(Gaby!C20+C20)/Amortización!F19,2)-(Gaby!E20-Gaby!D20))+D20)</f>
        <v>1604.05</v>
      </c>
      <c r="F20" s="37"/>
      <c r="G20" s="17" t="n">
        <f aca="false">IF(F20="",E20,F20)</f>
        <v>1604.05</v>
      </c>
      <c r="H20" s="17" t="n">
        <f aca="false">G20-D20</f>
        <v>1048.87</v>
      </c>
      <c r="I20" s="17" t="n">
        <f aca="false">ROUND(C20-H20,2)</f>
        <v>47199.05</v>
      </c>
    </row>
    <row r="21" customFormat="false" ht="15" hidden="false" customHeight="false" outlineLevel="0" collapsed="false">
      <c r="A21" s="38" t="n">
        <f aca="false">Amortización!A21</f>
        <v>16</v>
      </c>
      <c r="B21" s="39" t="n">
        <f aca="false">Amortización!B21</f>
        <v>46538</v>
      </c>
      <c r="C21" s="40" t="n">
        <f aca="false">I20</f>
        <v>47199.05</v>
      </c>
      <c r="D21" s="40" t="n">
        <f aca="false">ROUND((Gaby!C21+C21)*Amortización!$J$6*(MAX(0,DATE(YEAR(B21),1,1)-B20)/(DATE(YEAR(B20)+1,1,1)-DATE(YEAR(B20),1,1))+(B21-MAX(B20,DATE(YEAR(B21),1,1)))/(DATE(YEAR(B21)+1,1,1)-DATE(YEAR(B21),1,1))),2)-Gaby!D21</f>
        <v>561.22</v>
      </c>
      <c r="E21" s="40" t="n">
        <f aca="false">IF(C21&lt;=0,0,MIN(C21,ROUND(Amortización!D21*(Gaby!C21+C21)/Amortización!F20,2)-(Gaby!E21-Gaby!D21))+D21)</f>
        <v>1610.09</v>
      </c>
      <c r="F21" s="37"/>
      <c r="G21" s="40" t="n">
        <f aca="false">IF(F21="",E21,F21)</f>
        <v>1610.09</v>
      </c>
      <c r="H21" s="40" t="n">
        <f aca="false">G21-D21</f>
        <v>1048.87</v>
      </c>
      <c r="I21" s="40" t="n">
        <f aca="false">ROUND(C21-H21,2)</f>
        <v>46150.18</v>
      </c>
      <c r="K21" s="32" t="s">
        <v>59</v>
      </c>
      <c r="L21" s="5"/>
    </row>
    <row r="22" customFormat="false" ht="15" hidden="false" customHeight="false" outlineLevel="0" collapsed="false">
      <c r="A22" s="33" t="n">
        <f aca="false">Amortización!A22</f>
        <v>17</v>
      </c>
      <c r="B22" s="34" t="n">
        <f aca="false">Amortización!B22</f>
        <v>46568</v>
      </c>
      <c r="C22" s="17" t="n">
        <f aca="false">I21</f>
        <v>46150.18</v>
      </c>
      <c r="D22" s="17" t="n">
        <f aca="false">ROUND((Gaby!C22+C22)*Amortización!$J$6*(MAX(0,DATE(YEAR(B22),1,1)-B21)/(DATE(YEAR(B21)+1,1,1)-DATE(YEAR(B21),1,1))+(B22-MAX(B21,DATE(YEAR(B22),1,1)))/(DATE(YEAR(B22)+1,1,1)-DATE(YEAR(B22),1,1))),2)-Gaby!D22</f>
        <v>531.05</v>
      </c>
      <c r="E22" s="17" t="n">
        <f aca="false">IF(C22&lt;=0,0,MIN(C22,ROUND(Amortización!D22*(Gaby!C22+C22)/Amortización!F21,2)-(Gaby!E22-Gaby!D22))+D22)</f>
        <v>1579.92</v>
      </c>
      <c r="F22" s="37"/>
      <c r="G22" s="17" t="n">
        <f aca="false">IF(F22="",E22,F22)</f>
        <v>1579.92</v>
      </c>
      <c r="H22" s="17" t="n">
        <f aca="false">G22-D22</f>
        <v>1048.87</v>
      </c>
      <c r="I22" s="17" t="n">
        <f aca="false">ROUND(C22-H22,2)</f>
        <v>45101.31</v>
      </c>
      <c r="K22" s="10" t="s">
        <v>22</v>
      </c>
      <c r="L22" s="17" t="n">
        <f aca="false">D66</f>
        <v>21745.38</v>
      </c>
    </row>
    <row r="23" customFormat="false" ht="15" hidden="false" customHeight="false" outlineLevel="0" collapsed="false">
      <c r="A23" s="38" t="n">
        <f aca="false">Amortización!A23</f>
        <v>18</v>
      </c>
      <c r="B23" s="39" t="n">
        <f aca="false">Amortización!B23</f>
        <v>46599</v>
      </c>
      <c r="C23" s="40" t="n">
        <f aca="false">I22</f>
        <v>45101.31</v>
      </c>
      <c r="D23" s="40" t="n">
        <f aca="false">ROUND((Gaby!C23+C23)*Amortización!$J$6*(MAX(0,DATE(YEAR(B23),1,1)-B22)/(DATE(YEAR(B22)+1,1,1)-DATE(YEAR(B22),1,1))+(B23-MAX(B22,DATE(YEAR(B23),1,1)))/(DATE(YEAR(B23)+1,1,1)-DATE(YEAR(B23),1,1))),2)-Gaby!D23</f>
        <v>536.28</v>
      </c>
      <c r="E23" s="40" t="n">
        <f aca="false">IF(C23&lt;=0,0,MIN(C23,ROUND(Amortización!D23*(Gaby!C23+C23)/Amortización!F22,2)-(Gaby!E23-Gaby!D23))+D23)</f>
        <v>1585.15</v>
      </c>
      <c r="F23" s="37"/>
      <c r="G23" s="40" t="n">
        <f aca="false">IF(F23="",E23,F23)</f>
        <v>1585.15</v>
      </c>
      <c r="H23" s="40" t="n">
        <f aca="false">G23-D23</f>
        <v>1048.87</v>
      </c>
      <c r="I23" s="40" t="n">
        <f aca="false">ROUND(C23-H23,2)</f>
        <v>44052.44</v>
      </c>
      <c r="K23" s="10" t="s">
        <v>60</v>
      </c>
      <c r="L23" s="17" t="n">
        <f aca="false">G66</f>
        <v>72745.38</v>
      </c>
    </row>
    <row r="24" customFormat="false" ht="15" hidden="false" customHeight="false" outlineLevel="0" collapsed="false">
      <c r="A24" s="33" t="n">
        <f aca="false">Amortización!A24</f>
        <v>19</v>
      </c>
      <c r="B24" s="34" t="n">
        <f aca="false">Amortización!B24</f>
        <v>46630</v>
      </c>
      <c r="C24" s="17" t="n">
        <f aca="false">I23</f>
        <v>44052.44</v>
      </c>
      <c r="D24" s="17" t="n">
        <f aca="false">ROUND((Gaby!C24+C24)*Amortización!$J$6*(MAX(0,DATE(YEAR(B24),1,1)-B23)/(DATE(YEAR(B23)+1,1,1)-DATE(YEAR(B23),1,1))+(B24-MAX(B23,DATE(YEAR(B24),1,1)))/(DATE(YEAR(B24)+1,1,1)-DATE(YEAR(B24),1,1))),2)-Gaby!D24</f>
        <v>523.8</v>
      </c>
      <c r="E24" s="17" t="n">
        <f aca="false">IF(C24&lt;=0,0,MIN(C24,ROUND(Amortización!D24*(Gaby!C24+C24)/Amortización!F23,2)-(Gaby!E24-Gaby!D24))+D24)</f>
        <v>1572.67</v>
      </c>
      <c r="F24" s="37"/>
      <c r="G24" s="17" t="n">
        <f aca="false">IF(F24="",E24,F24)</f>
        <v>1572.67</v>
      </c>
      <c r="H24" s="17" t="n">
        <f aca="false">G24-D24</f>
        <v>1048.87</v>
      </c>
      <c r="I24" s="17" t="n">
        <f aca="false">ROUND(C24-H24,2)</f>
        <v>43003.57</v>
      </c>
      <c r="K24" s="10" t="s">
        <v>61</v>
      </c>
      <c r="L24" s="22" t="n">
        <f aca="false">INDEX(B6:B65,MAX(1,COUNTIF(C6:C65,"&gt;0.005")))</f>
        <v>47879</v>
      </c>
    </row>
    <row r="25" customFormat="false" ht="15" hidden="false" customHeight="false" outlineLevel="0" collapsed="false">
      <c r="A25" s="38" t="n">
        <f aca="false">Amortización!A25</f>
        <v>20</v>
      </c>
      <c r="B25" s="39" t="n">
        <f aca="false">Amortización!B25</f>
        <v>46660</v>
      </c>
      <c r="C25" s="40" t="n">
        <f aca="false">I24</f>
        <v>43003.57</v>
      </c>
      <c r="D25" s="40" t="n">
        <f aca="false">ROUND((Gaby!C25+C25)*Amortización!$J$6*(MAX(0,DATE(YEAR(B25),1,1)-B24)/(DATE(YEAR(B24)+1,1,1)-DATE(YEAR(B24),1,1))+(B25-MAX(B24,DATE(YEAR(B25),1,1)))/(DATE(YEAR(B25)+1,1,1)-DATE(YEAR(B25),1,1))),2)-Gaby!D25</f>
        <v>494.83</v>
      </c>
      <c r="E25" s="40" t="n">
        <f aca="false">IF(C25&lt;=0,0,MIN(C25,ROUND(Amortización!D25*(Gaby!C25+C25)/Amortización!F24,2)-(Gaby!E25-Gaby!D25))+D25)</f>
        <v>1543.7</v>
      </c>
      <c r="F25" s="37"/>
      <c r="G25" s="40" t="n">
        <f aca="false">IF(F25="",E25,F25)</f>
        <v>1543.7</v>
      </c>
      <c r="H25" s="40" t="n">
        <f aca="false">G25-D25</f>
        <v>1048.87</v>
      </c>
      <c r="I25" s="40" t="n">
        <f aca="false">ROUND(C25-H25,2)</f>
        <v>41954.7</v>
      </c>
    </row>
    <row r="26" customFormat="false" ht="15" hidden="false" customHeight="false" outlineLevel="0" collapsed="false">
      <c r="A26" s="33" t="n">
        <f aca="false">Amortización!A26</f>
        <v>21</v>
      </c>
      <c r="B26" s="34" t="n">
        <f aca="false">Amortización!B26</f>
        <v>46691</v>
      </c>
      <c r="C26" s="17" t="n">
        <f aca="false">I25</f>
        <v>41954.7</v>
      </c>
      <c r="D26" s="17" t="n">
        <f aca="false">ROUND((Gaby!C26+C26)*Amortización!$J$6*(MAX(0,DATE(YEAR(B26),1,1)-B25)/(DATE(YEAR(B25)+1,1,1)-DATE(YEAR(B25),1,1))+(B26-MAX(B25,DATE(YEAR(B26),1,1)))/(DATE(YEAR(B26)+1,1,1)-DATE(YEAR(B26),1,1))),2)-Gaby!D26</f>
        <v>498.86</v>
      </c>
      <c r="E26" s="17" t="n">
        <f aca="false">IF(C26&lt;=0,0,MIN(C26,ROUND(Amortización!D26*(Gaby!C26+C26)/Amortización!F25,2)-(Gaby!E26-Gaby!D26))+D26)</f>
        <v>1547.73</v>
      </c>
      <c r="F26" s="37"/>
      <c r="G26" s="17" t="n">
        <f aca="false">IF(F26="",E26,F26)</f>
        <v>1547.73</v>
      </c>
      <c r="H26" s="17" t="n">
        <f aca="false">G26-D26</f>
        <v>1048.87</v>
      </c>
      <c r="I26" s="17" t="n">
        <f aca="false">ROUND(C26-H26,2)</f>
        <v>40905.83</v>
      </c>
    </row>
    <row r="27" customFormat="false" ht="15" hidden="false" customHeight="false" outlineLevel="0" collapsed="false">
      <c r="A27" s="38" t="n">
        <f aca="false">Amortización!A27</f>
        <v>22</v>
      </c>
      <c r="B27" s="39" t="n">
        <f aca="false">Amortización!B27</f>
        <v>46721</v>
      </c>
      <c r="C27" s="40" t="n">
        <f aca="false">I26</f>
        <v>40905.83</v>
      </c>
      <c r="D27" s="40" t="n">
        <f aca="false">ROUND((Gaby!C27+C27)*Amortización!$J$6*(MAX(0,DATE(YEAR(B27),1,1)-B26)/(DATE(YEAR(B26)+1,1,1)-DATE(YEAR(B26),1,1))+(B27-MAX(B26,DATE(YEAR(B27),1,1)))/(DATE(YEAR(B27)+1,1,1)-DATE(YEAR(B27),1,1))),2)-Gaby!D27</f>
        <v>470.69</v>
      </c>
      <c r="E27" s="40" t="n">
        <f aca="false">IF(C27&lt;=0,0,MIN(C27,ROUND(Amortización!D27*(Gaby!C27+C27)/Amortización!F26,2)-(Gaby!E27-Gaby!D27))+D27)</f>
        <v>1519.56</v>
      </c>
      <c r="F27" s="37"/>
      <c r="G27" s="40" t="n">
        <f aca="false">IF(F27="",E27,F27)</f>
        <v>1519.56</v>
      </c>
      <c r="H27" s="40" t="n">
        <f aca="false">G27-D27</f>
        <v>1048.87</v>
      </c>
      <c r="I27" s="40" t="n">
        <f aca="false">ROUND(C27-H27,2)</f>
        <v>39856.96</v>
      </c>
    </row>
    <row r="28" customFormat="false" ht="15" hidden="false" customHeight="false" outlineLevel="0" collapsed="false">
      <c r="A28" s="33" t="n">
        <f aca="false">Amortización!A28</f>
        <v>23</v>
      </c>
      <c r="B28" s="34" t="n">
        <f aca="false">Amortización!B28</f>
        <v>46752</v>
      </c>
      <c r="C28" s="17" t="n">
        <f aca="false">I27</f>
        <v>39856.96</v>
      </c>
      <c r="D28" s="17" t="n">
        <f aca="false">ROUND((Gaby!C28+C28)*Amortización!$J$6*(MAX(0,DATE(YEAR(B28),1,1)-B27)/(DATE(YEAR(B27)+1,1,1)-DATE(YEAR(B27),1,1))+(B28-MAX(B27,DATE(YEAR(B28),1,1)))/(DATE(YEAR(B28)+1,1,1)-DATE(YEAR(B28),1,1))),2)-Gaby!D28</f>
        <v>473.92</v>
      </c>
      <c r="E28" s="17" t="n">
        <f aca="false">IF(C28&lt;=0,0,MIN(C28,ROUND(Amortización!D28*(Gaby!C28+C28)/Amortización!F27,2)-(Gaby!E28-Gaby!D28))+D28)</f>
        <v>1522.79</v>
      </c>
      <c r="F28" s="37"/>
      <c r="G28" s="17" t="n">
        <f aca="false">IF(F28="",E28,F28)</f>
        <v>1522.79</v>
      </c>
      <c r="H28" s="17" t="n">
        <f aca="false">G28-D28</f>
        <v>1048.87</v>
      </c>
      <c r="I28" s="17" t="n">
        <f aca="false">ROUND(C28-H28,2)</f>
        <v>38808.09</v>
      </c>
    </row>
    <row r="29" customFormat="false" ht="15" hidden="false" customHeight="false" outlineLevel="0" collapsed="false">
      <c r="A29" s="38" t="n">
        <f aca="false">Amortización!A29</f>
        <v>24</v>
      </c>
      <c r="B29" s="39" t="n">
        <f aca="false">Amortización!B29</f>
        <v>46783</v>
      </c>
      <c r="C29" s="40" t="n">
        <f aca="false">I28</f>
        <v>38808.09</v>
      </c>
      <c r="D29" s="40" t="n">
        <f aca="false">ROUND((Gaby!C29+C29)*Amortización!$J$6*(MAX(0,DATE(YEAR(B29),1,1)-B28)/(DATE(YEAR(B28)+1,1,1)-DATE(YEAR(B28),1,1))+(B29-MAX(B28,DATE(YEAR(B29),1,1)))/(DATE(YEAR(B29)+1,1,1)-DATE(YEAR(B29),1,1))),2)-Gaby!D29</f>
        <v>460.22</v>
      </c>
      <c r="E29" s="40" t="n">
        <f aca="false">IF(C29&lt;=0,0,MIN(C29,ROUND(Amortización!D29*(Gaby!C29+C29)/Amortización!F28,2)-(Gaby!E29-Gaby!D29))+D29)</f>
        <v>1509.09</v>
      </c>
      <c r="F29" s="37"/>
      <c r="G29" s="40" t="n">
        <f aca="false">IF(F29="",E29,F29)</f>
        <v>1509.09</v>
      </c>
      <c r="H29" s="40" t="n">
        <f aca="false">G29-D29</f>
        <v>1048.87</v>
      </c>
      <c r="I29" s="40" t="n">
        <f aca="false">ROUND(C29-H29,2)</f>
        <v>37759.22</v>
      </c>
    </row>
    <row r="30" customFormat="false" ht="15" hidden="false" customHeight="false" outlineLevel="0" collapsed="false">
      <c r="A30" s="33" t="n">
        <f aca="false">Amortización!A30</f>
        <v>25</v>
      </c>
      <c r="B30" s="34" t="n">
        <f aca="false">Amortización!B30</f>
        <v>46812</v>
      </c>
      <c r="C30" s="17" t="n">
        <f aca="false">I29</f>
        <v>37759.22</v>
      </c>
      <c r="D30" s="17" t="n">
        <f aca="false">ROUND((Gaby!C30+C30)*Amortización!$J$6*(MAX(0,DATE(YEAR(B30),1,1)-B29)/(DATE(YEAR(B29)+1,1,1)-DATE(YEAR(B29),1,1))+(B30-MAX(B29,DATE(YEAR(B30),1,1)))/(DATE(YEAR(B30)+1,1,1)-DATE(YEAR(B30),1,1))),2)-Gaby!D30</f>
        <v>418.86</v>
      </c>
      <c r="E30" s="17" t="n">
        <f aca="false">IF(C30&lt;=0,0,MIN(C30,ROUND(Amortización!D30*(Gaby!C30+C30)/Amortización!F29,2)-(Gaby!E30-Gaby!D30))+D30)</f>
        <v>1467.73</v>
      </c>
      <c r="F30" s="37"/>
      <c r="G30" s="17" t="n">
        <f aca="false">IF(F30="",E30,F30)</f>
        <v>1467.73</v>
      </c>
      <c r="H30" s="17" t="n">
        <f aca="false">G30-D30</f>
        <v>1048.87</v>
      </c>
      <c r="I30" s="17" t="n">
        <f aca="false">ROUND(C30-H30,2)</f>
        <v>36710.35</v>
      </c>
    </row>
    <row r="31" customFormat="false" ht="15" hidden="false" customHeight="false" outlineLevel="0" collapsed="false">
      <c r="A31" s="38" t="n">
        <f aca="false">Amortización!A31</f>
        <v>26</v>
      </c>
      <c r="B31" s="39" t="n">
        <f aca="false">Amortización!B31</f>
        <v>46843</v>
      </c>
      <c r="C31" s="40" t="n">
        <f aca="false">I30</f>
        <v>36710.35</v>
      </c>
      <c r="D31" s="40" t="n">
        <f aca="false">ROUND((Gaby!C31+C31)*Amortización!$J$6*(MAX(0,DATE(YEAR(B31),1,1)-B30)/(DATE(YEAR(B30)+1,1,1)-DATE(YEAR(B30),1,1))+(B31-MAX(B30,DATE(YEAR(B31),1,1)))/(DATE(YEAR(B31)+1,1,1)-DATE(YEAR(B31),1,1))),2)-Gaby!D31</f>
        <v>435.31</v>
      </c>
      <c r="E31" s="40" t="n">
        <f aca="false">IF(C31&lt;=0,0,MIN(C31,ROUND(Amortización!D31*(Gaby!C31+C31)/Amortización!F30,2)-(Gaby!E31-Gaby!D31))+D31)</f>
        <v>1484.18</v>
      </c>
      <c r="F31" s="37"/>
      <c r="G31" s="40" t="n">
        <f aca="false">IF(F31="",E31,F31)</f>
        <v>1484.18</v>
      </c>
      <c r="H31" s="40" t="n">
        <f aca="false">G31-D31</f>
        <v>1048.87</v>
      </c>
      <c r="I31" s="40" t="n">
        <f aca="false">ROUND(C31-H31,2)</f>
        <v>35661.48</v>
      </c>
    </row>
    <row r="32" customFormat="false" ht="15" hidden="false" customHeight="false" outlineLevel="0" collapsed="false">
      <c r="A32" s="33" t="n">
        <f aca="false">Amortización!A32</f>
        <v>27</v>
      </c>
      <c r="B32" s="34" t="n">
        <f aca="false">Amortización!B32</f>
        <v>46873</v>
      </c>
      <c r="C32" s="17" t="n">
        <f aca="false">I31</f>
        <v>35661.48</v>
      </c>
      <c r="D32" s="17" t="n">
        <f aca="false">ROUND((Gaby!C32+C32)*Amortización!$J$6*(MAX(0,DATE(YEAR(B32),1,1)-B31)/(DATE(YEAR(B31)+1,1,1)-DATE(YEAR(B31),1,1))+(B32-MAX(B31,DATE(YEAR(B32),1,1)))/(DATE(YEAR(B32)+1,1,1)-DATE(YEAR(B32),1,1))),2)-Gaby!D32</f>
        <v>409.23</v>
      </c>
      <c r="E32" s="17" t="n">
        <f aca="false">IF(C32&lt;=0,0,MIN(C32,ROUND(Amortización!D32*(Gaby!C32+C32)/Amortización!F31,2)-(Gaby!E32-Gaby!D32))+D32)</f>
        <v>1458.1</v>
      </c>
      <c r="F32" s="37"/>
      <c r="G32" s="17" t="n">
        <f aca="false">IF(F32="",E32,F32)</f>
        <v>1458.1</v>
      </c>
      <c r="H32" s="17" t="n">
        <f aca="false">G32-D32</f>
        <v>1048.87</v>
      </c>
      <c r="I32" s="17" t="n">
        <f aca="false">ROUND(C32-H32,2)</f>
        <v>34612.61</v>
      </c>
    </row>
    <row r="33" customFormat="false" ht="15" hidden="false" customHeight="false" outlineLevel="0" collapsed="false">
      <c r="A33" s="38" t="n">
        <f aca="false">Amortización!A33</f>
        <v>28</v>
      </c>
      <c r="B33" s="39" t="n">
        <f aca="false">Amortización!B33</f>
        <v>46904</v>
      </c>
      <c r="C33" s="40" t="n">
        <f aca="false">I32</f>
        <v>34612.61</v>
      </c>
      <c r="D33" s="40" t="n">
        <f aca="false">ROUND((Gaby!C33+C33)*Amortización!$J$6*(MAX(0,DATE(YEAR(B33),1,1)-B32)/(DATE(YEAR(B32)+1,1,1)-DATE(YEAR(B32),1,1))+(B33-MAX(B32,DATE(YEAR(B33),1,1)))/(DATE(YEAR(B33)+1,1,1)-DATE(YEAR(B33),1,1))),2)-Gaby!D33</f>
        <v>410.43</v>
      </c>
      <c r="E33" s="40" t="n">
        <f aca="false">IF(C33&lt;=0,0,MIN(C33,ROUND(Amortización!D33*(Gaby!C33+C33)/Amortización!F32,2)-(Gaby!E33-Gaby!D33))+D33)</f>
        <v>1459.3</v>
      </c>
      <c r="F33" s="37"/>
      <c r="G33" s="40" t="n">
        <f aca="false">IF(F33="",E33,F33)</f>
        <v>1459.3</v>
      </c>
      <c r="H33" s="40" t="n">
        <f aca="false">G33-D33</f>
        <v>1048.87</v>
      </c>
      <c r="I33" s="40" t="n">
        <f aca="false">ROUND(C33-H33,2)</f>
        <v>33563.74</v>
      </c>
    </row>
    <row r="34" customFormat="false" ht="15" hidden="false" customHeight="false" outlineLevel="0" collapsed="false">
      <c r="A34" s="33" t="n">
        <f aca="false">Amortización!A34</f>
        <v>29</v>
      </c>
      <c r="B34" s="34" t="n">
        <f aca="false">Amortización!B34</f>
        <v>46934</v>
      </c>
      <c r="C34" s="17" t="n">
        <f aca="false">I33</f>
        <v>33563.74</v>
      </c>
      <c r="D34" s="17" t="n">
        <f aca="false">ROUND((Gaby!C34+C34)*Amortización!$J$6*(MAX(0,DATE(YEAR(B34),1,1)-B33)/(DATE(YEAR(B33)+1,1,1)-DATE(YEAR(B33),1,1))+(B34-MAX(B33,DATE(YEAR(B34),1,1)))/(DATE(YEAR(B34)+1,1,1)-DATE(YEAR(B34),1,1))),2)-Gaby!D34</f>
        <v>385.16</v>
      </c>
      <c r="E34" s="17" t="n">
        <f aca="false">IF(C34&lt;=0,0,MIN(C34,ROUND(Amortización!D34*(Gaby!C34+C34)/Amortización!F33,2)-(Gaby!E34-Gaby!D34))+D34)</f>
        <v>1434.03</v>
      </c>
      <c r="F34" s="37"/>
      <c r="G34" s="17" t="n">
        <f aca="false">IF(F34="",E34,F34)</f>
        <v>1434.03</v>
      </c>
      <c r="H34" s="17" t="n">
        <f aca="false">G34-D34</f>
        <v>1048.87</v>
      </c>
      <c r="I34" s="17" t="n">
        <f aca="false">ROUND(C34-H34,2)</f>
        <v>32514.87</v>
      </c>
    </row>
    <row r="35" customFormat="false" ht="15" hidden="false" customHeight="false" outlineLevel="0" collapsed="false">
      <c r="A35" s="38" t="n">
        <f aca="false">Amortización!A35</f>
        <v>30</v>
      </c>
      <c r="B35" s="39" t="n">
        <f aca="false">Amortización!B35</f>
        <v>46965</v>
      </c>
      <c r="C35" s="40" t="n">
        <f aca="false">I34</f>
        <v>32514.87</v>
      </c>
      <c r="D35" s="40" t="n">
        <f aca="false">ROUND((Gaby!C35+C35)*Amortización!$J$6*(MAX(0,DATE(YEAR(B35),1,1)-B34)/(DATE(YEAR(B34)+1,1,1)-DATE(YEAR(B34),1,1))+(B35-MAX(B34,DATE(YEAR(B35),1,1)))/(DATE(YEAR(B35)+1,1,1)-DATE(YEAR(B35),1,1))),2)-Gaby!D35</f>
        <v>385.56</v>
      </c>
      <c r="E35" s="40" t="n">
        <f aca="false">IF(C35&lt;=0,0,MIN(C35,ROUND(Amortización!D35*(Gaby!C35+C35)/Amortización!F34,2)-(Gaby!E35-Gaby!D35))+D35)</f>
        <v>1434.43</v>
      </c>
      <c r="F35" s="37"/>
      <c r="G35" s="40" t="n">
        <f aca="false">IF(F35="",E35,F35)</f>
        <v>1434.43</v>
      </c>
      <c r="H35" s="40" t="n">
        <f aca="false">G35-D35</f>
        <v>1048.87</v>
      </c>
      <c r="I35" s="40" t="n">
        <f aca="false">ROUND(C35-H35,2)</f>
        <v>31466</v>
      </c>
    </row>
    <row r="36" customFormat="false" ht="15" hidden="false" customHeight="false" outlineLevel="0" collapsed="false">
      <c r="A36" s="33" t="n">
        <f aca="false">Amortización!A36</f>
        <v>31</v>
      </c>
      <c r="B36" s="34" t="n">
        <f aca="false">Amortización!B36</f>
        <v>46996</v>
      </c>
      <c r="C36" s="17" t="n">
        <f aca="false">I35</f>
        <v>31466</v>
      </c>
      <c r="D36" s="17" t="n">
        <f aca="false">ROUND((Gaby!C36+C36)*Amortización!$J$6*(MAX(0,DATE(YEAR(B36),1,1)-B35)/(DATE(YEAR(B35)+1,1,1)-DATE(YEAR(B35),1,1))+(B36-MAX(B35,DATE(YEAR(B36),1,1)))/(DATE(YEAR(B36)+1,1,1)-DATE(YEAR(B36),1,1))),2)-Gaby!D36</f>
        <v>373.12</v>
      </c>
      <c r="E36" s="17" t="n">
        <f aca="false">IF(C36&lt;=0,0,MIN(C36,ROUND(Amortización!D36*(Gaby!C36+C36)/Amortización!F35,2)-(Gaby!E36-Gaby!D36))+D36)</f>
        <v>1421.99</v>
      </c>
      <c r="F36" s="37"/>
      <c r="G36" s="17" t="n">
        <f aca="false">IF(F36="",E36,F36)</f>
        <v>1421.99</v>
      </c>
      <c r="H36" s="17" t="n">
        <f aca="false">G36-D36</f>
        <v>1048.87</v>
      </c>
      <c r="I36" s="17" t="n">
        <f aca="false">ROUND(C36-H36,2)</f>
        <v>30417.13</v>
      </c>
    </row>
    <row r="37" customFormat="false" ht="15" hidden="false" customHeight="false" outlineLevel="0" collapsed="false">
      <c r="A37" s="38" t="n">
        <f aca="false">Amortización!A37</f>
        <v>32</v>
      </c>
      <c r="B37" s="39" t="n">
        <f aca="false">Amortización!B37</f>
        <v>47026</v>
      </c>
      <c r="C37" s="40" t="n">
        <f aca="false">I36</f>
        <v>30417.13</v>
      </c>
      <c r="D37" s="40" t="n">
        <f aca="false">ROUND((Gaby!C37+C37)*Amortización!$J$6*(MAX(0,DATE(YEAR(B37),1,1)-B36)/(DATE(YEAR(B36)+1,1,1)-DATE(YEAR(B36),1,1))+(B37-MAX(B36,DATE(YEAR(B37),1,1)))/(DATE(YEAR(B37)+1,1,1)-DATE(YEAR(B37),1,1))),2)-Gaby!D37</f>
        <v>349.05</v>
      </c>
      <c r="E37" s="40" t="n">
        <f aca="false">IF(C37&lt;=0,0,MIN(C37,ROUND(Amortización!D37*(Gaby!C37+C37)/Amortización!F36,2)-(Gaby!E37-Gaby!D37))+D37)</f>
        <v>1397.92</v>
      </c>
      <c r="F37" s="37"/>
      <c r="G37" s="40" t="n">
        <f aca="false">IF(F37="",E37,F37)</f>
        <v>1397.92</v>
      </c>
      <c r="H37" s="40" t="n">
        <f aca="false">G37-D37</f>
        <v>1048.87</v>
      </c>
      <c r="I37" s="40" t="n">
        <f aca="false">ROUND(C37-H37,2)</f>
        <v>29368.26</v>
      </c>
    </row>
    <row r="38" customFormat="false" ht="15" hidden="false" customHeight="false" outlineLevel="0" collapsed="false">
      <c r="A38" s="33" t="n">
        <f aca="false">Amortización!A38</f>
        <v>33</v>
      </c>
      <c r="B38" s="34" t="n">
        <f aca="false">Amortización!B38</f>
        <v>47057</v>
      </c>
      <c r="C38" s="17" t="n">
        <f aca="false">I37</f>
        <v>29368.26</v>
      </c>
      <c r="D38" s="17" t="n">
        <f aca="false">ROUND((Gaby!C38+C38)*Amortización!$J$6*(MAX(0,DATE(YEAR(B38),1,1)-B37)/(DATE(YEAR(B37)+1,1,1)-DATE(YEAR(B37),1,1))+(B38-MAX(B37,DATE(YEAR(B38),1,1)))/(DATE(YEAR(B38)+1,1,1)-DATE(YEAR(B38),1,1))),2)-Gaby!D38</f>
        <v>348.25</v>
      </c>
      <c r="E38" s="17" t="n">
        <f aca="false">IF(C38&lt;=0,0,MIN(C38,ROUND(Amortización!D38*(Gaby!C38+C38)/Amortización!F37,2)-(Gaby!E38-Gaby!D38))+D38)</f>
        <v>1397.12</v>
      </c>
      <c r="F38" s="37"/>
      <c r="G38" s="17" t="n">
        <f aca="false">IF(F38="",E38,F38)</f>
        <v>1397.12</v>
      </c>
      <c r="H38" s="17" t="n">
        <f aca="false">G38-D38</f>
        <v>1048.87</v>
      </c>
      <c r="I38" s="17" t="n">
        <f aca="false">ROUND(C38-H38,2)</f>
        <v>28319.39</v>
      </c>
    </row>
    <row r="39" customFormat="false" ht="15" hidden="false" customHeight="false" outlineLevel="0" collapsed="false">
      <c r="A39" s="38" t="n">
        <f aca="false">Amortización!A39</f>
        <v>34</v>
      </c>
      <c r="B39" s="39" t="n">
        <f aca="false">Amortización!B39</f>
        <v>47087</v>
      </c>
      <c r="C39" s="40" t="n">
        <f aca="false">I38</f>
        <v>28319.39</v>
      </c>
      <c r="D39" s="40" t="n">
        <f aca="false">ROUND((Gaby!C39+C39)*Amortización!$J$6*(MAX(0,DATE(YEAR(B39),1,1)-B38)/(DATE(YEAR(B38)+1,1,1)-DATE(YEAR(B38),1,1))+(B39-MAX(B38,DATE(YEAR(B39),1,1)))/(DATE(YEAR(B39)+1,1,1)-DATE(YEAR(B39),1,1))),2)-Gaby!D39</f>
        <v>324.97</v>
      </c>
      <c r="E39" s="40" t="n">
        <f aca="false">IF(C39&lt;=0,0,MIN(C39,ROUND(Amortización!D39*(Gaby!C39+C39)/Amortización!F38,2)-(Gaby!E39-Gaby!D39))+D39)</f>
        <v>1373.84</v>
      </c>
      <c r="F39" s="37"/>
      <c r="G39" s="40" t="n">
        <f aca="false">IF(F39="",E39,F39)</f>
        <v>1373.84</v>
      </c>
      <c r="H39" s="40" t="n">
        <f aca="false">G39-D39</f>
        <v>1048.87</v>
      </c>
      <c r="I39" s="40" t="n">
        <f aca="false">ROUND(C39-H39,2)</f>
        <v>27270.52</v>
      </c>
    </row>
    <row r="40" customFormat="false" ht="15" hidden="false" customHeight="false" outlineLevel="0" collapsed="false">
      <c r="A40" s="33" t="n">
        <f aca="false">Amortización!A40</f>
        <v>35</v>
      </c>
      <c r="B40" s="34" t="n">
        <f aca="false">Amortización!B40</f>
        <v>47118</v>
      </c>
      <c r="C40" s="17" t="n">
        <f aca="false">I39</f>
        <v>27270.52</v>
      </c>
      <c r="D40" s="17" t="n">
        <f aca="false">ROUND((Gaby!C40+C40)*Amortización!$J$6*(MAX(0,DATE(YEAR(B40),1,1)-B39)/(DATE(YEAR(B39)+1,1,1)-DATE(YEAR(B39),1,1))+(B40-MAX(B39,DATE(YEAR(B40),1,1)))/(DATE(YEAR(B40)+1,1,1)-DATE(YEAR(B40),1,1))),2)-Gaby!D40</f>
        <v>323.37</v>
      </c>
      <c r="E40" s="17" t="n">
        <f aca="false">IF(C40&lt;=0,0,MIN(C40,ROUND(Amortización!D40*(Gaby!C40+C40)/Amortización!F39,2)-(Gaby!E40-Gaby!D40))+D40)</f>
        <v>1372.24</v>
      </c>
      <c r="F40" s="37"/>
      <c r="G40" s="17" t="n">
        <f aca="false">IF(F40="",E40,F40)</f>
        <v>1372.24</v>
      </c>
      <c r="H40" s="17" t="n">
        <f aca="false">G40-D40</f>
        <v>1048.87</v>
      </c>
      <c r="I40" s="17" t="n">
        <f aca="false">ROUND(C40-H40,2)</f>
        <v>26221.65</v>
      </c>
    </row>
    <row r="41" customFormat="false" ht="15" hidden="false" customHeight="false" outlineLevel="0" collapsed="false">
      <c r="A41" s="38" t="n">
        <f aca="false">Amortización!A41</f>
        <v>36</v>
      </c>
      <c r="B41" s="39" t="n">
        <f aca="false">Amortización!B41</f>
        <v>47149</v>
      </c>
      <c r="C41" s="40" t="n">
        <f aca="false">I40</f>
        <v>26221.65</v>
      </c>
      <c r="D41" s="40" t="n">
        <f aca="false">ROUND((Gaby!C41+C41)*Amortización!$J$6*(MAX(0,DATE(YEAR(B41),1,1)-B40)/(DATE(YEAR(B40)+1,1,1)-DATE(YEAR(B40),1,1))+(B41-MAX(B40,DATE(YEAR(B41),1,1)))/(DATE(YEAR(B41)+1,1,1)-DATE(YEAR(B41),1,1))),2)-Gaby!D41</f>
        <v>311.76</v>
      </c>
      <c r="E41" s="40" t="n">
        <f aca="false">IF(C41&lt;=0,0,MIN(C41,ROUND(Amortización!D41*(Gaby!C41+C41)/Amortización!F40,2)-(Gaby!E41-Gaby!D41))+D41)</f>
        <v>1360.63</v>
      </c>
      <c r="F41" s="37"/>
      <c r="G41" s="40" t="n">
        <f aca="false">IF(F41="",E41,F41)</f>
        <v>1360.63</v>
      </c>
      <c r="H41" s="40" t="n">
        <f aca="false">G41-D41</f>
        <v>1048.87</v>
      </c>
      <c r="I41" s="40" t="n">
        <f aca="false">ROUND(C41-H41,2)</f>
        <v>25172.78</v>
      </c>
    </row>
    <row r="42" customFormat="false" ht="15" hidden="false" customHeight="false" outlineLevel="0" collapsed="false">
      <c r="A42" s="33" t="n">
        <f aca="false">Amortización!A42</f>
        <v>37</v>
      </c>
      <c r="B42" s="34" t="n">
        <f aca="false">Amortización!B42</f>
        <v>47177</v>
      </c>
      <c r="C42" s="17" t="n">
        <f aca="false">I41</f>
        <v>25172.78</v>
      </c>
      <c r="D42" s="17" t="n">
        <f aca="false">ROUND((Gaby!C42+C42)*Amortización!$J$6*(MAX(0,DATE(YEAR(B42),1,1)-B41)/(DATE(YEAR(B41)+1,1,1)-DATE(YEAR(B41),1,1))+(B42-MAX(B41,DATE(YEAR(B42),1,1)))/(DATE(YEAR(B42)+1,1,1)-DATE(YEAR(B42),1,1))),2)-Gaby!D42</f>
        <v>270.35</v>
      </c>
      <c r="E42" s="17" t="n">
        <f aca="false">IF(C42&lt;=0,0,MIN(C42,ROUND(Amortización!D42*(Gaby!C42+C42)/Amortización!F41,2)-(Gaby!E42-Gaby!D42))+D42)</f>
        <v>1319.22</v>
      </c>
      <c r="F42" s="37"/>
      <c r="G42" s="17" t="n">
        <f aca="false">IF(F42="",E42,F42)</f>
        <v>1319.22</v>
      </c>
      <c r="H42" s="17" t="n">
        <f aca="false">G42-D42</f>
        <v>1048.87</v>
      </c>
      <c r="I42" s="17" t="n">
        <f aca="false">ROUND(C42-H42,2)</f>
        <v>24123.91</v>
      </c>
    </row>
    <row r="43" customFormat="false" ht="15" hidden="false" customHeight="false" outlineLevel="0" collapsed="false">
      <c r="A43" s="38" t="n">
        <f aca="false">Amortización!A43</f>
        <v>38</v>
      </c>
      <c r="B43" s="39" t="n">
        <f aca="false">Amortización!B43</f>
        <v>47208</v>
      </c>
      <c r="C43" s="40" t="n">
        <f aca="false">I42</f>
        <v>24123.91</v>
      </c>
      <c r="D43" s="40" t="n">
        <f aca="false">ROUND((Gaby!C43+C43)*Amortización!$J$6*(MAX(0,DATE(YEAR(B43),1,1)-B42)/(DATE(YEAR(B42)+1,1,1)-DATE(YEAR(B42),1,1))+(B43-MAX(B42,DATE(YEAR(B43),1,1)))/(DATE(YEAR(B43)+1,1,1)-DATE(YEAR(B43),1,1))),2)-Gaby!D43</f>
        <v>286.85</v>
      </c>
      <c r="E43" s="40" t="n">
        <f aca="false">IF(C43&lt;=0,0,MIN(C43,ROUND(Amortización!D43*(Gaby!C43+C43)/Amortización!F42,2)-(Gaby!E43-Gaby!D43))+D43)</f>
        <v>1335.72</v>
      </c>
      <c r="F43" s="37"/>
      <c r="G43" s="40" t="n">
        <f aca="false">IF(F43="",E43,F43)</f>
        <v>1335.72</v>
      </c>
      <c r="H43" s="40" t="n">
        <f aca="false">G43-D43</f>
        <v>1048.87</v>
      </c>
      <c r="I43" s="40" t="n">
        <f aca="false">ROUND(C43-H43,2)</f>
        <v>23075.04</v>
      </c>
    </row>
    <row r="44" customFormat="false" ht="15" hidden="false" customHeight="false" outlineLevel="0" collapsed="false">
      <c r="A44" s="33" t="n">
        <f aca="false">Amortización!A44</f>
        <v>39</v>
      </c>
      <c r="B44" s="34" t="n">
        <f aca="false">Amortización!B44</f>
        <v>47238</v>
      </c>
      <c r="C44" s="17" t="n">
        <f aca="false">I43</f>
        <v>23075.04</v>
      </c>
      <c r="D44" s="17" t="n">
        <f aca="false">ROUND((Gaby!C44+C44)*Amortización!$J$6*(MAX(0,DATE(YEAR(B44),1,1)-B43)/(DATE(YEAR(B43)+1,1,1)-DATE(YEAR(B43),1,1))+(B44-MAX(B43,DATE(YEAR(B44),1,1)))/(DATE(YEAR(B44)+1,1,1)-DATE(YEAR(B44),1,1))),2)-Gaby!D44</f>
        <v>265.52</v>
      </c>
      <c r="E44" s="17" t="n">
        <f aca="false">IF(C44&lt;=0,0,MIN(C44,ROUND(Amortización!D44*(Gaby!C44+C44)/Amortización!F43,2)-(Gaby!E44-Gaby!D44))+D44)</f>
        <v>1314.39</v>
      </c>
      <c r="F44" s="37"/>
      <c r="G44" s="17" t="n">
        <f aca="false">IF(F44="",E44,F44)</f>
        <v>1314.39</v>
      </c>
      <c r="H44" s="17" t="n">
        <f aca="false">G44-D44</f>
        <v>1048.87</v>
      </c>
      <c r="I44" s="17" t="n">
        <f aca="false">ROUND(C44-H44,2)</f>
        <v>22026.17</v>
      </c>
    </row>
    <row r="45" customFormat="false" ht="15" hidden="false" customHeight="false" outlineLevel="0" collapsed="false">
      <c r="A45" s="38" t="n">
        <f aca="false">Amortización!A45</f>
        <v>40</v>
      </c>
      <c r="B45" s="39" t="n">
        <f aca="false">Amortización!B45</f>
        <v>47269</v>
      </c>
      <c r="C45" s="40" t="n">
        <f aca="false">I44</f>
        <v>22026.17</v>
      </c>
      <c r="D45" s="40" t="n">
        <f aca="false">ROUND((Gaby!C45+C45)*Amortización!$J$6*(MAX(0,DATE(YEAR(B45),1,1)-B44)/(DATE(YEAR(B44)+1,1,1)-DATE(YEAR(B44),1,1))+(B45-MAX(B44,DATE(YEAR(B45),1,1)))/(DATE(YEAR(B45)+1,1,1)-DATE(YEAR(B45),1,1))),2)-Gaby!D45</f>
        <v>261.9</v>
      </c>
      <c r="E45" s="40" t="n">
        <f aca="false">IF(C45&lt;=0,0,MIN(C45,ROUND(Amortización!D45*(Gaby!C45+C45)/Amortización!F44,2)-(Gaby!E45-Gaby!D45))+D45)</f>
        <v>1310.77</v>
      </c>
      <c r="F45" s="37"/>
      <c r="G45" s="40" t="n">
        <f aca="false">IF(F45="",E45,F45)</f>
        <v>1310.77</v>
      </c>
      <c r="H45" s="40" t="n">
        <f aca="false">G45-D45</f>
        <v>1048.87</v>
      </c>
      <c r="I45" s="40" t="n">
        <f aca="false">ROUND(C45-H45,2)</f>
        <v>20977.3</v>
      </c>
    </row>
    <row r="46" customFormat="false" ht="15" hidden="false" customHeight="false" outlineLevel="0" collapsed="false">
      <c r="A46" s="33" t="n">
        <f aca="false">Amortización!A46</f>
        <v>41</v>
      </c>
      <c r="B46" s="34" t="n">
        <f aca="false">Amortización!B46</f>
        <v>47299</v>
      </c>
      <c r="C46" s="17" t="n">
        <f aca="false">I45</f>
        <v>20977.3</v>
      </c>
      <c r="D46" s="17" t="n">
        <f aca="false">ROUND((Gaby!C46+C46)*Amortización!$J$6*(MAX(0,DATE(YEAR(B46),1,1)-B45)/(DATE(YEAR(B45)+1,1,1)-DATE(YEAR(B45),1,1))+(B46-MAX(B45,DATE(YEAR(B46),1,1)))/(DATE(YEAR(B46)+1,1,1)-DATE(YEAR(B46),1,1))),2)-Gaby!D46</f>
        <v>241.38</v>
      </c>
      <c r="E46" s="17" t="n">
        <f aca="false">IF(C46&lt;=0,0,MIN(C46,ROUND(Amortización!D46*(Gaby!C46+C46)/Amortización!F45,2)-(Gaby!E46-Gaby!D46))+D46)</f>
        <v>1290.25</v>
      </c>
      <c r="F46" s="37"/>
      <c r="G46" s="17" t="n">
        <f aca="false">IF(F46="",E46,F46)</f>
        <v>1290.25</v>
      </c>
      <c r="H46" s="17" t="n">
        <f aca="false">G46-D46</f>
        <v>1048.87</v>
      </c>
      <c r="I46" s="17" t="n">
        <f aca="false">ROUND(C46-H46,2)</f>
        <v>19928.43</v>
      </c>
    </row>
    <row r="47" customFormat="false" ht="15" hidden="false" customHeight="false" outlineLevel="0" collapsed="false">
      <c r="A47" s="38" t="n">
        <f aca="false">Amortización!A47</f>
        <v>42</v>
      </c>
      <c r="B47" s="39" t="n">
        <f aca="false">Amortización!B47</f>
        <v>47330</v>
      </c>
      <c r="C47" s="40" t="n">
        <f aca="false">I46</f>
        <v>19928.43</v>
      </c>
      <c r="D47" s="40" t="n">
        <f aca="false">ROUND((Gaby!C47+C47)*Amortización!$J$6*(MAX(0,DATE(YEAR(B47),1,1)-B46)/(DATE(YEAR(B46)+1,1,1)-DATE(YEAR(B46),1,1))+(B47-MAX(B46,DATE(YEAR(B47),1,1)))/(DATE(YEAR(B47)+1,1,1)-DATE(YEAR(B47),1,1))),2)-Gaby!D47</f>
        <v>236.96</v>
      </c>
      <c r="E47" s="40" t="n">
        <f aca="false">IF(C47&lt;=0,0,MIN(C47,ROUND(Amortización!D47*(Gaby!C47+C47)/Amortización!F46,2)-(Gaby!E47-Gaby!D47))+D47)</f>
        <v>1285.83</v>
      </c>
      <c r="F47" s="37"/>
      <c r="G47" s="40" t="n">
        <f aca="false">IF(F47="",E47,F47)</f>
        <v>1285.83</v>
      </c>
      <c r="H47" s="40" t="n">
        <f aca="false">G47-D47</f>
        <v>1048.87</v>
      </c>
      <c r="I47" s="40" t="n">
        <f aca="false">ROUND(C47-H47,2)</f>
        <v>18879.56</v>
      </c>
    </row>
    <row r="48" customFormat="false" ht="15" hidden="false" customHeight="false" outlineLevel="0" collapsed="false">
      <c r="A48" s="33" t="n">
        <f aca="false">Amortización!A48</f>
        <v>43</v>
      </c>
      <c r="B48" s="34" t="n">
        <f aca="false">Amortización!B48</f>
        <v>47361</v>
      </c>
      <c r="C48" s="17" t="n">
        <f aca="false">I47</f>
        <v>18879.56</v>
      </c>
      <c r="D48" s="17" t="n">
        <f aca="false">ROUND((Gaby!C48+C48)*Amortización!$J$6*(MAX(0,DATE(YEAR(B48),1,1)-B47)/(DATE(YEAR(B47)+1,1,1)-DATE(YEAR(B47),1,1))+(B48-MAX(B47,DATE(YEAR(B48),1,1)))/(DATE(YEAR(B48)+1,1,1)-DATE(YEAR(B48),1,1))),2)-Gaby!D48</f>
        <v>224.49</v>
      </c>
      <c r="E48" s="17" t="n">
        <f aca="false">IF(C48&lt;=0,0,MIN(C48,ROUND(Amortización!D48*(Gaby!C48+C48)/Amortización!F47,2)-(Gaby!E48-Gaby!D48))+D48)</f>
        <v>1273.36</v>
      </c>
      <c r="F48" s="37"/>
      <c r="G48" s="17" t="n">
        <f aca="false">IF(F48="",E48,F48)</f>
        <v>1273.36</v>
      </c>
      <c r="H48" s="17" t="n">
        <f aca="false">G48-D48</f>
        <v>1048.87</v>
      </c>
      <c r="I48" s="17" t="n">
        <f aca="false">ROUND(C48-H48,2)</f>
        <v>17830.69</v>
      </c>
    </row>
    <row r="49" customFormat="false" ht="15" hidden="false" customHeight="false" outlineLevel="0" collapsed="false">
      <c r="A49" s="38" t="n">
        <f aca="false">Amortización!A49</f>
        <v>44</v>
      </c>
      <c r="B49" s="39" t="n">
        <f aca="false">Amortización!B49</f>
        <v>47391</v>
      </c>
      <c r="C49" s="40" t="n">
        <f aca="false">I48</f>
        <v>17830.69</v>
      </c>
      <c r="D49" s="40" t="n">
        <f aca="false">ROUND((Gaby!C49+C49)*Amortización!$J$6*(MAX(0,DATE(YEAR(B49),1,1)-B48)/(DATE(YEAR(B48)+1,1,1)-DATE(YEAR(B48),1,1))+(B49-MAX(B48,DATE(YEAR(B49),1,1)))/(DATE(YEAR(B49)+1,1,1)-DATE(YEAR(B49),1,1))),2)-Gaby!D49</f>
        <v>205.18</v>
      </c>
      <c r="E49" s="40" t="n">
        <f aca="false">IF(C49&lt;=0,0,MIN(C49,ROUND(Amortización!D49*(Gaby!C49+C49)/Amortización!F48,2)-(Gaby!E49-Gaby!D49))+D49)</f>
        <v>1254.05</v>
      </c>
      <c r="F49" s="37"/>
      <c r="G49" s="40" t="n">
        <f aca="false">IF(F49="",E49,F49)</f>
        <v>1254.05</v>
      </c>
      <c r="H49" s="40" t="n">
        <f aca="false">G49-D49</f>
        <v>1048.87</v>
      </c>
      <c r="I49" s="40" t="n">
        <f aca="false">ROUND(C49-H49,2)</f>
        <v>16781.82</v>
      </c>
    </row>
    <row r="50" customFormat="false" ht="15" hidden="false" customHeight="false" outlineLevel="0" collapsed="false">
      <c r="A50" s="33" t="n">
        <f aca="false">Amortización!A50</f>
        <v>45</v>
      </c>
      <c r="B50" s="34" t="n">
        <f aca="false">Amortización!B50</f>
        <v>47422</v>
      </c>
      <c r="C50" s="17" t="n">
        <f aca="false">I49</f>
        <v>16781.82</v>
      </c>
      <c r="D50" s="17" t="n">
        <f aca="false">ROUND((Gaby!C50+C50)*Amortización!$J$6*(MAX(0,DATE(YEAR(B50),1,1)-B49)/(DATE(YEAR(B49)+1,1,1)-DATE(YEAR(B49),1,1))+(B50-MAX(B49,DATE(YEAR(B50),1,1)))/(DATE(YEAR(B50)+1,1,1)-DATE(YEAR(B50),1,1))),2)-Gaby!D50</f>
        <v>199.55</v>
      </c>
      <c r="E50" s="17" t="n">
        <f aca="false">IF(C50&lt;=0,0,MIN(C50,ROUND(Amortización!D50*(Gaby!C50+C50)/Amortización!F49,2)-(Gaby!E50-Gaby!D50))+D50)</f>
        <v>1248.42</v>
      </c>
      <c r="F50" s="37"/>
      <c r="G50" s="17" t="n">
        <f aca="false">IF(F50="",E50,F50)</f>
        <v>1248.42</v>
      </c>
      <c r="H50" s="17" t="n">
        <f aca="false">G50-D50</f>
        <v>1048.87</v>
      </c>
      <c r="I50" s="17" t="n">
        <f aca="false">ROUND(C50-H50,2)</f>
        <v>15732.95</v>
      </c>
    </row>
    <row r="51" customFormat="false" ht="15" hidden="false" customHeight="false" outlineLevel="0" collapsed="false">
      <c r="A51" s="38" t="n">
        <f aca="false">Amortización!A51</f>
        <v>46</v>
      </c>
      <c r="B51" s="39" t="n">
        <f aca="false">Amortización!B51</f>
        <v>47452</v>
      </c>
      <c r="C51" s="40" t="n">
        <f aca="false">I50</f>
        <v>15732.95</v>
      </c>
      <c r="D51" s="40" t="n">
        <f aca="false">ROUND((Gaby!C51+C51)*Amortización!$J$6*(MAX(0,DATE(YEAR(B51),1,1)-B50)/(DATE(YEAR(B50)+1,1,1)-DATE(YEAR(B50),1,1))+(B51-MAX(B50,DATE(YEAR(B51),1,1)))/(DATE(YEAR(B51)+1,1,1)-DATE(YEAR(B51),1,1))),2)-Gaby!D51</f>
        <v>181.04</v>
      </c>
      <c r="E51" s="40" t="n">
        <f aca="false">IF(C51&lt;=0,0,MIN(C51,ROUND(Amortización!D51*(Gaby!C51+C51)/Amortización!F50,2)-(Gaby!E51-Gaby!D51))+D51)</f>
        <v>1229.91</v>
      </c>
      <c r="F51" s="37"/>
      <c r="G51" s="40" t="n">
        <f aca="false">IF(F51="",E51,F51)</f>
        <v>1229.91</v>
      </c>
      <c r="H51" s="40" t="n">
        <f aca="false">G51-D51</f>
        <v>1048.87</v>
      </c>
      <c r="I51" s="40" t="n">
        <f aca="false">ROUND(C51-H51,2)</f>
        <v>14684.08</v>
      </c>
    </row>
    <row r="52" customFormat="false" ht="15" hidden="false" customHeight="false" outlineLevel="0" collapsed="false">
      <c r="A52" s="33" t="n">
        <f aca="false">Amortización!A52</f>
        <v>47</v>
      </c>
      <c r="B52" s="34" t="n">
        <f aca="false">Amortización!B52</f>
        <v>47483</v>
      </c>
      <c r="C52" s="17" t="n">
        <f aca="false">I51</f>
        <v>14684.08</v>
      </c>
      <c r="D52" s="17" t="n">
        <f aca="false">ROUND((Gaby!C52+C52)*Amortización!$J$6*(MAX(0,DATE(YEAR(B52),1,1)-B51)/(DATE(YEAR(B51)+1,1,1)-DATE(YEAR(B51),1,1))+(B52-MAX(B51,DATE(YEAR(B52),1,1)))/(DATE(YEAR(B52)+1,1,1)-DATE(YEAR(B52),1,1))),2)-Gaby!D52</f>
        <v>174.6</v>
      </c>
      <c r="E52" s="17" t="n">
        <f aca="false">IF(C52&lt;=0,0,MIN(C52,ROUND(Amortización!D52*(Gaby!C52+C52)/Amortización!F51,2)-(Gaby!E52-Gaby!D52))+D52)</f>
        <v>1223.47</v>
      </c>
      <c r="F52" s="37"/>
      <c r="G52" s="17" t="n">
        <f aca="false">IF(F52="",E52,F52)</f>
        <v>1223.47</v>
      </c>
      <c r="H52" s="17" t="n">
        <f aca="false">G52-D52</f>
        <v>1048.87</v>
      </c>
      <c r="I52" s="17" t="n">
        <f aca="false">ROUND(C52-H52,2)</f>
        <v>13635.21</v>
      </c>
    </row>
    <row r="53" customFormat="false" ht="15" hidden="false" customHeight="false" outlineLevel="0" collapsed="false">
      <c r="A53" s="38" t="n">
        <f aca="false">Amortización!A53</f>
        <v>48</v>
      </c>
      <c r="B53" s="39" t="n">
        <f aca="false">Amortización!B53</f>
        <v>47514</v>
      </c>
      <c r="C53" s="40" t="n">
        <f aca="false">I52</f>
        <v>13635.21</v>
      </c>
      <c r="D53" s="40" t="n">
        <f aca="false">ROUND((Gaby!C53+C53)*Amortización!$J$6*(MAX(0,DATE(YEAR(B53),1,1)-B52)/(DATE(YEAR(B52)+1,1,1)-DATE(YEAR(B52),1,1))+(B53-MAX(B52,DATE(YEAR(B53),1,1)))/(DATE(YEAR(B53)+1,1,1)-DATE(YEAR(B53),1,1))),2)-Gaby!D53</f>
        <v>162.12</v>
      </c>
      <c r="E53" s="40" t="n">
        <f aca="false">IF(C53&lt;=0,0,MIN(C53,ROUND(Amortización!D53*(Gaby!C53+C53)/Amortización!F52,2)-(Gaby!E53-Gaby!D53))+D53)</f>
        <v>1210.99</v>
      </c>
      <c r="F53" s="37"/>
      <c r="G53" s="40" t="n">
        <f aca="false">IF(F53="",E53,F53)</f>
        <v>1210.99</v>
      </c>
      <c r="H53" s="40" t="n">
        <f aca="false">G53-D53</f>
        <v>1048.87</v>
      </c>
      <c r="I53" s="40" t="n">
        <f aca="false">ROUND(C53-H53,2)</f>
        <v>12586.34</v>
      </c>
    </row>
    <row r="54" customFormat="false" ht="15" hidden="false" customHeight="false" outlineLevel="0" collapsed="false">
      <c r="A54" s="33" t="n">
        <f aca="false">Amortización!A54</f>
        <v>49</v>
      </c>
      <c r="B54" s="34" t="n">
        <f aca="false">Amortización!B54</f>
        <v>47542</v>
      </c>
      <c r="C54" s="17" t="n">
        <f aca="false">I53</f>
        <v>12586.34</v>
      </c>
      <c r="D54" s="17" t="n">
        <f aca="false">ROUND((Gaby!C54+C54)*Amortización!$J$6*(MAX(0,DATE(YEAR(B54),1,1)-B53)/(DATE(YEAR(B53)+1,1,1)-DATE(YEAR(B53),1,1))+(B54-MAX(B53,DATE(YEAR(B54),1,1)))/(DATE(YEAR(B54)+1,1,1)-DATE(YEAR(B54),1,1))),2)-Gaby!D54</f>
        <v>135.17</v>
      </c>
      <c r="E54" s="17" t="n">
        <f aca="false">IF(C54&lt;=0,0,MIN(C54,ROUND(Amortización!D54*(Gaby!C54+C54)/Amortización!F53,2)-(Gaby!E54-Gaby!D54))+D54)</f>
        <v>1184.04</v>
      </c>
      <c r="F54" s="37"/>
      <c r="G54" s="17" t="n">
        <f aca="false">IF(F54="",E54,F54)</f>
        <v>1184.04</v>
      </c>
      <c r="H54" s="17" t="n">
        <f aca="false">G54-D54</f>
        <v>1048.87</v>
      </c>
      <c r="I54" s="17" t="n">
        <f aca="false">ROUND(C54-H54,2)</f>
        <v>11537.47</v>
      </c>
    </row>
    <row r="55" customFormat="false" ht="15" hidden="false" customHeight="false" outlineLevel="0" collapsed="false">
      <c r="A55" s="38" t="n">
        <f aca="false">Amortización!A55</f>
        <v>50</v>
      </c>
      <c r="B55" s="39" t="n">
        <f aca="false">Amortización!B55</f>
        <v>47573</v>
      </c>
      <c r="C55" s="40" t="n">
        <f aca="false">I54</f>
        <v>11537.47</v>
      </c>
      <c r="D55" s="40" t="n">
        <f aca="false">ROUND((Gaby!C55+C55)*Amortización!$J$6*(MAX(0,DATE(YEAR(B55),1,1)-B54)/(DATE(YEAR(B54)+1,1,1)-DATE(YEAR(B54),1,1))+(B55-MAX(B54,DATE(YEAR(B55),1,1)))/(DATE(YEAR(B55)+1,1,1)-DATE(YEAR(B55),1,1))),2)-Gaby!D55</f>
        <v>137.19</v>
      </c>
      <c r="E55" s="40" t="n">
        <f aca="false">IF(C55&lt;=0,0,MIN(C55,ROUND(Amortización!D55*(Gaby!C55+C55)/Amortización!F54,2)-(Gaby!E55-Gaby!D55))+D55)</f>
        <v>1186.06</v>
      </c>
      <c r="F55" s="37"/>
      <c r="G55" s="40" t="n">
        <f aca="false">IF(F55="",E55,F55)</f>
        <v>1186.06</v>
      </c>
      <c r="H55" s="40" t="n">
        <f aca="false">G55-D55</f>
        <v>1048.87</v>
      </c>
      <c r="I55" s="40" t="n">
        <f aca="false">ROUND(C55-H55,2)</f>
        <v>10488.6</v>
      </c>
    </row>
    <row r="56" customFormat="false" ht="15" hidden="false" customHeight="false" outlineLevel="0" collapsed="false">
      <c r="A56" s="33" t="n">
        <f aca="false">Amortización!A56</f>
        <v>51</v>
      </c>
      <c r="B56" s="34" t="n">
        <f aca="false">Amortización!B56</f>
        <v>47603</v>
      </c>
      <c r="C56" s="17" t="n">
        <f aca="false">I55</f>
        <v>10488.6</v>
      </c>
      <c r="D56" s="17" t="n">
        <f aca="false">ROUND((Gaby!C56+C56)*Amortización!$J$6*(MAX(0,DATE(YEAR(B56),1,1)-B55)/(DATE(YEAR(B55)+1,1,1)-DATE(YEAR(B55),1,1))+(B56-MAX(B55,DATE(YEAR(B56),1,1)))/(DATE(YEAR(B56)+1,1,1)-DATE(YEAR(B56),1,1))),2)-Gaby!D56</f>
        <v>120.69</v>
      </c>
      <c r="E56" s="17" t="n">
        <f aca="false">IF(C56&lt;=0,0,MIN(C56,ROUND(Amortización!D56*(Gaby!C56+C56)/Amortización!F55,2)-(Gaby!E56-Gaby!D56))+D56)</f>
        <v>1169.56</v>
      </c>
      <c r="F56" s="37"/>
      <c r="G56" s="17" t="n">
        <f aca="false">IF(F56="",E56,F56)</f>
        <v>1169.56</v>
      </c>
      <c r="H56" s="17" t="n">
        <f aca="false">G56-D56</f>
        <v>1048.87</v>
      </c>
      <c r="I56" s="17" t="n">
        <f aca="false">ROUND(C56-H56,2)</f>
        <v>9439.73</v>
      </c>
    </row>
    <row r="57" customFormat="false" ht="15" hidden="false" customHeight="false" outlineLevel="0" collapsed="false">
      <c r="A57" s="38" t="n">
        <f aca="false">Amortización!A57</f>
        <v>52</v>
      </c>
      <c r="B57" s="39" t="n">
        <f aca="false">Amortización!B57</f>
        <v>47634</v>
      </c>
      <c r="C57" s="40" t="n">
        <f aca="false">I56</f>
        <v>9439.73</v>
      </c>
      <c r="D57" s="40" t="n">
        <f aca="false">ROUND((Gaby!C57+C57)*Amortización!$J$6*(MAX(0,DATE(YEAR(B57),1,1)-B56)/(DATE(YEAR(B56)+1,1,1)-DATE(YEAR(B56),1,1))+(B57-MAX(B56,DATE(YEAR(B57),1,1)))/(DATE(YEAR(B57)+1,1,1)-DATE(YEAR(B57),1,1))),2)-Gaby!D57</f>
        <v>112.24</v>
      </c>
      <c r="E57" s="40" t="n">
        <f aca="false">IF(C57&lt;=0,0,MIN(C57,ROUND(Amortización!D57*(Gaby!C57+C57)/Amortización!F56,2)-(Gaby!E57-Gaby!D57))+D57)</f>
        <v>1161.11</v>
      </c>
      <c r="F57" s="37"/>
      <c r="G57" s="40" t="n">
        <f aca="false">IF(F57="",E57,F57)</f>
        <v>1161.11</v>
      </c>
      <c r="H57" s="40" t="n">
        <f aca="false">G57-D57</f>
        <v>1048.87</v>
      </c>
      <c r="I57" s="40" t="n">
        <f aca="false">ROUND(C57-H57,2)</f>
        <v>8390.86</v>
      </c>
    </row>
    <row r="58" customFormat="false" ht="15" hidden="false" customHeight="false" outlineLevel="0" collapsed="false">
      <c r="A58" s="33" t="n">
        <f aca="false">Amortización!A58</f>
        <v>53</v>
      </c>
      <c r="B58" s="34" t="n">
        <f aca="false">Amortización!B58</f>
        <v>47664</v>
      </c>
      <c r="C58" s="17" t="n">
        <f aca="false">I57</f>
        <v>8390.86</v>
      </c>
      <c r="D58" s="17" t="n">
        <f aca="false">ROUND((Gaby!C58+C58)*Amortización!$J$6*(MAX(0,DATE(YEAR(B58),1,1)-B57)/(DATE(YEAR(B57)+1,1,1)-DATE(YEAR(B57),1,1))+(B58-MAX(B57,DATE(YEAR(B58),1,1)))/(DATE(YEAR(B58)+1,1,1)-DATE(YEAR(B58),1,1))),2)-Gaby!D58</f>
        <v>96.55</v>
      </c>
      <c r="E58" s="17" t="n">
        <f aca="false">IF(C58&lt;=0,0,MIN(C58,ROUND(Amortización!D58*(Gaby!C58+C58)/Amortización!F57,2)-(Gaby!E58-Gaby!D58))+D58)</f>
        <v>1145.42</v>
      </c>
      <c r="F58" s="37"/>
      <c r="G58" s="17" t="n">
        <f aca="false">IF(F58="",E58,F58)</f>
        <v>1145.42</v>
      </c>
      <c r="H58" s="17" t="n">
        <f aca="false">G58-D58</f>
        <v>1048.87</v>
      </c>
      <c r="I58" s="17" t="n">
        <f aca="false">ROUND(C58-H58,2)</f>
        <v>7341.99</v>
      </c>
    </row>
    <row r="59" customFormat="false" ht="15" hidden="false" customHeight="false" outlineLevel="0" collapsed="false">
      <c r="A59" s="38" t="n">
        <f aca="false">Amortización!A59</f>
        <v>54</v>
      </c>
      <c r="B59" s="39" t="n">
        <f aca="false">Amortización!B59</f>
        <v>47695</v>
      </c>
      <c r="C59" s="40" t="n">
        <f aca="false">I58</f>
        <v>7341.99</v>
      </c>
      <c r="D59" s="40" t="n">
        <f aca="false">ROUND((Gaby!C59+C59)*Amortización!$J$6*(MAX(0,DATE(YEAR(B59),1,1)-B58)/(DATE(YEAR(B58)+1,1,1)-DATE(YEAR(B58),1,1))+(B59-MAX(B58,DATE(YEAR(B59),1,1)))/(DATE(YEAR(B59)+1,1,1)-DATE(YEAR(B59),1,1))),2)-Gaby!D59</f>
        <v>87.3</v>
      </c>
      <c r="E59" s="40" t="n">
        <f aca="false">IF(C59&lt;=0,0,MIN(C59,ROUND(Amortización!D59*(Gaby!C59+C59)/Amortización!F58,2)-(Gaby!E59-Gaby!D59))+D59)</f>
        <v>1136.17</v>
      </c>
      <c r="F59" s="37"/>
      <c r="G59" s="40" t="n">
        <f aca="false">IF(F59="",E59,F59)</f>
        <v>1136.17</v>
      </c>
      <c r="H59" s="40" t="n">
        <f aca="false">G59-D59</f>
        <v>1048.87</v>
      </c>
      <c r="I59" s="40" t="n">
        <f aca="false">ROUND(C59-H59,2)</f>
        <v>6293.12</v>
      </c>
    </row>
    <row r="60" customFormat="false" ht="15" hidden="false" customHeight="false" outlineLevel="0" collapsed="false">
      <c r="A60" s="33" t="n">
        <f aca="false">Amortización!A60</f>
        <v>55</v>
      </c>
      <c r="B60" s="34" t="n">
        <f aca="false">Amortización!B60</f>
        <v>47726</v>
      </c>
      <c r="C60" s="17" t="n">
        <f aca="false">I59</f>
        <v>6293.12</v>
      </c>
      <c r="D60" s="17" t="n">
        <f aca="false">ROUND((Gaby!C60+C60)*Amortización!$J$6*(MAX(0,DATE(YEAR(B60),1,1)-B59)/(DATE(YEAR(B59)+1,1,1)-DATE(YEAR(B59),1,1))+(B60-MAX(B59,DATE(YEAR(B60),1,1)))/(DATE(YEAR(B60)+1,1,1)-DATE(YEAR(B60),1,1))),2)-Gaby!D60</f>
        <v>74.83</v>
      </c>
      <c r="E60" s="17" t="n">
        <f aca="false">IF(C60&lt;=0,0,MIN(C60,ROUND(Amortización!D60*(Gaby!C60+C60)/Amortización!F59,2)-(Gaby!E60-Gaby!D60))+D60)</f>
        <v>1123.7</v>
      </c>
      <c r="F60" s="37"/>
      <c r="G60" s="17" t="n">
        <f aca="false">IF(F60="",E60,F60)</f>
        <v>1123.7</v>
      </c>
      <c r="H60" s="17" t="n">
        <f aca="false">G60-D60</f>
        <v>1048.87</v>
      </c>
      <c r="I60" s="17" t="n">
        <f aca="false">ROUND(C60-H60,2)</f>
        <v>5244.25</v>
      </c>
    </row>
    <row r="61" customFormat="false" ht="15" hidden="false" customHeight="false" outlineLevel="0" collapsed="false">
      <c r="A61" s="38" t="n">
        <f aca="false">Amortización!A61</f>
        <v>56</v>
      </c>
      <c r="B61" s="39" t="n">
        <f aca="false">Amortización!B61</f>
        <v>47756</v>
      </c>
      <c r="C61" s="40" t="n">
        <f aca="false">I60</f>
        <v>5244.25</v>
      </c>
      <c r="D61" s="40" t="n">
        <f aca="false">ROUND((Gaby!C61+C61)*Amortización!$J$6*(MAX(0,DATE(YEAR(B61),1,1)-B60)/(DATE(YEAR(B60)+1,1,1)-DATE(YEAR(B60),1,1))+(B61-MAX(B60,DATE(YEAR(B61),1,1)))/(DATE(YEAR(B61)+1,1,1)-DATE(YEAR(B61),1,1))),2)-Gaby!D61</f>
        <v>60.35</v>
      </c>
      <c r="E61" s="40" t="n">
        <f aca="false">IF(C61&lt;=0,0,MIN(C61,ROUND(Amortización!D61*(Gaby!C61+C61)/Amortización!F60,2)-(Gaby!E61-Gaby!D61))+D61)</f>
        <v>1109.23</v>
      </c>
      <c r="F61" s="37"/>
      <c r="G61" s="40" t="n">
        <f aca="false">IF(F61="",E61,F61)</f>
        <v>1109.23</v>
      </c>
      <c r="H61" s="40" t="n">
        <f aca="false">G61-D61</f>
        <v>1048.88</v>
      </c>
      <c r="I61" s="40" t="n">
        <f aca="false">ROUND(C61-H61,2)</f>
        <v>4195.37</v>
      </c>
    </row>
    <row r="62" customFormat="false" ht="15" hidden="false" customHeight="false" outlineLevel="0" collapsed="false">
      <c r="A62" s="33" t="n">
        <f aca="false">Amortización!A62</f>
        <v>57</v>
      </c>
      <c r="B62" s="34" t="n">
        <f aca="false">Amortización!B62</f>
        <v>47787</v>
      </c>
      <c r="C62" s="17" t="n">
        <f aca="false">I61</f>
        <v>4195.37</v>
      </c>
      <c r="D62" s="17" t="n">
        <f aca="false">ROUND((Gaby!C62+C62)*Amortización!$J$6*(MAX(0,DATE(YEAR(B62),1,1)-B61)/(DATE(YEAR(B61)+1,1,1)-DATE(YEAR(B61),1,1))+(B62-MAX(B61,DATE(YEAR(B62),1,1)))/(DATE(YEAR(B62)+1,1,1)-DATE(YEAR(B62),1,1))),2)-Gaby!D62</f>
        <v>49.89</v>
      </c>
      <c r="E62" s="17" t="n">
        <f aca="false">IF(C62&lt;=0,0,MIN(C62,ROUND(Amortización!D62*(Gaby!C62+C62)/Amortización!F61,2)-(Gaby!E62-Gaby!D62))+D62)</f>
        <v>1098.76</v>
      </c>
      <c r="F62" s="37"/>
      <c r="G62" s="17" t="n">
        <f aca="false">IF(F62="",E62,F62)</f>
        <v>1098.76</v>
      </c>
      <c r="H62" s="17" t="n">
        <f aca="false">G62-D62</f>
        <v>1048.87</v>
      </c>
      <c r="I62" s="17" t="n">
        <f aca="false">ROUND(C62-H62,2)</f>
        <v>3146.5</v>
      </c>
    </row>
    <row r="63" customFormat="false" ht="15" hidden="false" customHeight="false" outlineLevel="0" collapsed="false">
      <c r="A63" s="38" t="n">
        <f aca="false">Amortización!A63</f>
        <v>58</v>
      </c>
      <c r="B63" s="39" t="n">
        <f aca="false">Amortización!B63</f>
        <v>47817</v>
      </c>
      <c r="C63" s="40" t="n">
        <f aca="false">I62</f>
        <v>3146.5</v>
      </c>
      <c r="D63" s="40" t="n">
        <f aca="false">ROUND((Gaby!C63+C63)*Amortización!$J$6*(MAX(0,DATE(YEAR(B63),1,1)-B62)/(DATE(YEAR(B62)+1,1,1)-DATE(YEAR(B62),1,1))+(B63-MAX(B62,DATE(YEAR(B63),1,1)))/(DATE(YEAR(B63)+1,1,1)-DATE(YEAR(B63),1,1))),2)-Gaby!D63</f>
        <v>36.2</v>
      </c>
      <c r="E63" s="40" t="n">
        <f aca="false">IF(C63&lt;=0,0,MIN(C63,ROUND(Amortización!D63*(Gaby!C63+C63)/Amortización!F62,2)-(Gaby!E63-Gaby!D63))+D63)</f>
        <v>1085.08</v>
      </c>
      <c r="F63" s="37"/>
      <c r="G63" s="40" t="n">
        <f aca="false">IF(F63="",E63,F63)</f>
        <v>1085.08</v>
      </c>
      <c r="H63" s="40" t="n">
        <f aca="false">G63-D63</f>
        <v>1048.88</v>
      </c>
      <c r="I63" s="40" t="n">
        <f aca="false">ROUND(C63-H63,2)</f>
        <v>2097.62</v>
      </c>
    </row>
    <row r="64" customFormat="false" ht="15" hidden="false" customHeight="false" outlineLevel="0" collapsed="false">
      <c r="A64" s="33" t="n">
        <f aca="false">Amortización!A64</f>
        <v>59</v>
      </c>
      <c r="B64" s="34" t="n">
        <f aca="false">Amortización!B64</f>
        <v>47848</v>
      </c>
      <c r="C64" s="17" t="n">
        <f aca="false">I63</f>
        <v>2097.62</v>
      </c>
      <c r="D64" s="17" t="n">
        <f aca="false">ROUND((Gaby!C64+C64)*Amortización!$J$6*(MAX(0,DATE(YEAR(B64),1,1)-B63)/(DATE(YEAR(B63)+1,1,1)-DATE(YEAR(B63),1,1))+(B64-MAX(B63,DATE(YEAR(B64),1,1)))/(DATE(YEAR(B64)+1,1,1)-DATE(YEAR(B64),1,1))),2)-Gaby!D64</f>
        <v>24.94</v>
      </c>
      <c r="E64" s="17" t="n">
        <f aca="false">IF(C64&lt;=0,0,MIN(C64,ROUND(Amortización!D64*(Gaby!C64+C64)/Amortización!F63,2)-(Gaby!E64-Gaby!D64))+D64)</f>
        <v>1073.81</v>
      </c>
      <c r="F64" s="37"/>
      <c r="G64" s="17" t="n">
        <f aca="false">IF(F64="",E64,F64)</f>
        <v>1073.81</v>
      </c>
      <c r="H64" s="17" t="n">
        <f aca="false">G64-D64</f>
        <v>1048.87</v>
      </c>
      <c r="I64" s="17" t="n">
        <f aca="false">ROUND(C64-H64,2)</f>
        <v>1048.75</v>
      </c>
    </row>
    <row r="65" customFormat="false" ht="15" hidden="false" customHeight="false" outlineLevel="0" collapsed="false">
      <c r="A65" s="38" t="n">
        <f aca="false">Amortización!A65</f>
        <v>60</v>
      </c>
      <c r="B65" s="39" t="n">
        <f aca="false">Amortización!B65</f>
        <v>47879</v>
      </c>
      <c r="C65" s="40" t="n">
        <f aca="false">I64</f>
        <v>1048.75</v>
      </c>
      <c r="D65" s="40" t="n">
        <f aca="false">ROUND((Gaby!C65+C65)*Amortización!$J$6*(MAX(0,DATE(YEAR(B65),1,1)-B64)/(DATE(YEAR(B64)+1,1,1)-DATE(YEAR(B64),1,1))+(B65-MAX(B64,DATE(YEAR(B65),1,1)))/(DATE(YEAR(B65)+1,1,1)-DATE(YEAR(B65),1,1))),2)-Gaby!D65</f>
        <v>12.48</v>
      </c>
      <c r="E65" s="40" t="n">
        <f aca="false">IF(C65&lt;=0,0,MIN(C65,ROUND(Amortización!D65*(Gaby!C65+C65)/Amortización!F64,2)-(Gaby!E65-Gaby!D65))+D65)</f>
        <v>1061.23</v>
      </c>
      <c r="F65" s="37"/>
      <c r="G65" s="40" t="n">
        <f aca="false">IF(F65="",E65,F65)</f>
        <v>1061.23</v>
      </c>
      <c r="H65" s="40" t="n">
        <f aca="false">G65-D65</f>
        <v>1048.75</v>
      </c>
      <c r="I65" s="40" t="n">
        <f aca="false">ROUND(C65-H65,2)</f>
        <v>0</v>
      </c>
    </row>
    <row r="66" customFormat="false" ht="15" hidden="false" customHeight="false" outlineLevel="0" collapsed="false">
      <c r="A66" s="27"/>
      <c r="B66" s="28" t="s">
        <v>40</v>
      </c>
      <c r="C66" s="27"/>
      <c r="D66" s="29" t="n">
        <f aca="false">SUM(D6:D65)</f>
        <v>21745.38</v>
      </c>
      <c r="E66" s="27"/>
      <c r="F66" s="29" t="n">
        <f aca="false">SUM(F6:F65)</f>
        <v>1339.77</v>
      </c>
      <c r="G66" s="29" t="n">
        <f aca="false">SUM(G6:G65)</f>
        <v>72745.38</v>
      </c>
      <c r="H66" s="29" t="n">
        <f aca="false">SUM(H6:H65)</f>
        <v>51000</v>
      </c>
      <c r="I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3"/>
    <col collapsed="false" customWidth="true" hidden="false" outlineLevel="0" max="13" min="13" style="0" width="38"/>
    <col collapsed="false" customWidth="true" hidden="false" outlineLevel="0" max="14" min="14" style="0" width="15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30" hidden="false" customHeight="true" outlineLevel="0" collapsed="false">
      <c r="A4" s="30" t="s">
        <v>2</v>
      </c>
      <c r="B4" s="30" t="s">
        <v>3</v>
      </c>
      <c r="C4" s="30" t="s">
        <v>66</v>
      </c>
      <c r="D4" s="30" t="s">
        <v>67</v>
      </c>
      <c r="E4" s="30" t="s">
        <v>68</v>
      </c>
      <c r="F4" s="30" t="s">
        <v>6</v>
      </c>
      <c r="G4" s="30" t="s">
        <v>5</v>
      </c>
      <c r="H4" s="30" t="s">
        <v>69</v>
      </c>
      <c r="I4" s="30" t="s">
        <v>70</v>
      </c>
      <c r="J4" s="30" t="s">
        <v>71</v>
      </c>
      <c r="K4" s="30" t="s">
        <v>72</v>
      </c>
      <c r="M4" s="32" t="s">
        <v>73</v>
      </c>
      <c r="N4" s="5"/>
    </row>
    <row r="5" customFormat="false" ht="15" hidden="false" customHeight="false" outlineLevel="0" collapsed="false">
      <c r="A5" s="33" t="n">
        <f aca="false">Amortización!A5</f>
        <v>0</v>
      </c>
      <c r="B5" s="34" t="n">
        <f aca="false">Amortización!B5</f>
        <v>46053</v>
      </c>
      <c r="C5" s="35"/>
      <c r="D5" s="35"/>
      <c r="E5" s="35"/>
      <c r="F5" s="35"/>
      <c r="G5" s="35"/>
      <c r="H5" s="17" t="n">
        <f aca="false">Gaby!I5+Gerson!I5</f>
        <v>100000</v>
      </c>
      <c r="I5" s="35"/>
      <c r="J5" s="36" t="n">
        <f aca="false">Amortización!F5</f>
        <v>100000</v>
      </c>
      <c r="K5" s="45"/>
      <c r="M5" s="10" t="s">
        <v>74</v>
      </c>
      <c r="N5" s="41" t="n">
        <f aca="false">COUNTIF(K6:K65,"Pagado")</f>
        <v>8</v>
      </c>
    </row>
    <row r="6" customFormat="false" ht="15" hidden="false" customHeight="false" outlineLevel="0" collapsed="false">
      <c r="A6" s="33" t="n">
        <f aca="false">Amortización!A6</f>
        <v>1</v>
      </c>
      <c r="B6" s="34" t="n">
        <f aca="false">Amortización!B6</f>
        <v>46081</v>
      </c>
      <c r="C6" s="36" t="n">
        <f aca="false">Gaby!G6</f>
        <v>2677.85</v>
      </c>
      <c r="D6" s="36" t="n">
        <f aca="false">Gerson!G6</f>
        <v>62.79</v>
      </c>
      <c r="E6" s="17" t="n">
        <f aca="false">C6+D6</f>
        <v>2740.64</v>
      </c>
      <c r="F6" s="17" t="n">
        <f aca="false">Gaby!D6+Gerson!D6</f>
        <v>1073.97</v>
      </c>
      <c r="G6" s="17" t="n">
        <f aca="false">E6-F6</f>
        <v>1666.67</v>
      </c>
      <c r="H6" s="17" t="n">
        <f aca="false">Gaby!I6+Gerson!I6</f>
        <v>98333.33</v>
      </c>
      <c r="I6" s="36" t="n">
        <f aca="false">Amortización!C6</f>
        <v>2740.64</v>
      </c>
      <c r="J6" s="36" t="n">
        <f aca="false">Amortización!F6</f>
        <v>98333.33</v>
      </c>
      <c r="K6" s="6" t="str">
        <f aca="false">IF(COUNT(Gaby!F6,Gerson!F6)=2,"Pagado",IF(COUNT(Gaby!F6,Gerson!F6)=1,"Parcial","Proyectado"))</f>
        <v>Pagado</v>
      </c>
      <c r="M6" s="10" t="s">
        <v>75</v>
      </c>
      <c r="N6" s="36" t="n">
        <f aca="false">Gaby!L14</f>
        <v>32125.5</v>
      </c>
    </row>
    <row r="7" customFormat="false" ht="15" hidden="false" customHeight="false" outlineLevel="0" collapsed="false">
      <c r="A7" s="38" t="n">
        <f aca="false">Amortización!A7</f>
        <v>2</v>
      </c>
      <c r="B7" s="39" t="n">
        <f aca="false">Amortización!B7</f>
        <v>46112</v>
      </c>
      <c r="C7" s="46" t="n">
        <f aca="false">Gaby!G7</f>
        <v>2653.08</v>
      </c>
      <c r="D7" s="46" t="n">
        <f aca="false">Gerson!G7</f>
        <v>182.81</v>
      </c>
      <c r="E7" s="40" t="n">
        <f aca="false">C7+D7</f>
        <v>2835.89</v>
      </c>
      <c r="F7" s="40" t="n">
        <f aca="false">Gaby!D7+Gerson!D7</f>
        <v>1169.22</v>
      </c>
      <c r="G7" s="40" t="n">
        <f aca="false">E7-F7</f>
        <v>1666.67</v>
      </c>
      <c r="H7" s="40" t="n">
        <f aca="false">Gaby!I7+Gerson!I7</f>
        <v>96666.66</v>
      </c>
      <c r="I7" s="46" t="n">
        <f aca="false">Amortización!C7</f>
        <v>2835.89</v>
      </c>
      <c r="J7" s="46" t="n">
        <f aca="false">Amortización!F7</f>
        <v>96666.66</v>
      </c>
      <c r="K7" s="13" t="str">
        <f aca="false">IF(COUNT(Gaby!F7,Gerson!F7)=2,"Pagado",IF(COUNT(Gaby!F7,Gerson!F7)=1,"Parcial","Proyectado"))</f>
        <v>Pagado</v>
      </c>
      <c r="M7" s="10" t="s">
        <v>76</v>
      </c>
      <c r="N7" s="36" t="n">
        <f aca="false">Gerson!L14</f>
        <v>54541.14</v>
      </c>
    </row>
    <row r="8" customFormat="false" ht="15" hidden="false" customHeight="false" outlineLevel="0" collapsed="false">
      <c r="A8" s="33" t="n">
        <f aca="false">Amortización!A8</f>
        <v>3</v>
      </c>
      <c r="B8" s="34" t="n">
        <f aca="false">Amortización!B8</f>
        <v>46142</v>
      </c>
      <c r="C8" s="36" t="n">
        <f aca="false">Gaby!G8</f>
        <v>2628.31</v>
      </c>
      <c r="D8" s="36" t="n">
        <f aca="false">Gerson!G8</f>
        <v>150.69</v>
      </c>
      <c r="E8" s="17" t="n">
        <f aca="false">C8+D8</f>
        <v>2779</v>
      </c>
      <c r="F8" s="17" t="n">
        <f aca="false">Gaby!D8+Gerson!D8</f>
        <v>1112.33</v>
      </c>
      <c r="G8" s="17" t="n">
        <f aca="false">E8-F8</f>
        <v>1666.67</v>
      </c>
      <c r="H8" s="17" t="n">
        <f aca="false">Gaby!I8+Gerson!I8</f>
        <v>94999.99</v>
      </c>
      <c r="I8" s="36" t="n">
        <f aca="false">Amortización!C8</f>
        <v>2779</v>
      </c>
      <c r="J8" s="36" t="n">
        <f aca="false">Amortización!F8</f>
        <v>94999.99</v>
      </c>
      <c r="K8" s="6" t="str">
        <f aca="false">IF(COUNT(Gaby!F8,Gerson!F8)=2,"Pagado",IF(COUNT(Gaby!F8,Gerson!F8)=1,"Parcial","Proyectado"))</f>
        <v>Pagado</v>
      </c>
      <c r="M8" s="10" t="s">
        <v>77</v>
      </c>
      <c r="N8" s="42" t="n">
        <f aca="false">N6+N7</f>
        <v>86666.64</v>
      </c>
    </row>
    <row r="9" customFormat="false" ht="15" hidden="false" customHeight="false" outlineLevel="0" collapsed="false">
      <c r="A9" s="38" t="n">
        <f aca="false">Amortización!A9</f>
        <v>4</v>
      </c>
      <c r="B9" s="39" t="n">
        <f aca="false">Amortización!B9</f>
        <v>46173</v>
      </c>
      <c r="C9" s="46" t="n">
        <f aca="false">Gaby!G9</f>
        <v>2603.54</v>
      </c>
      <c r="D9" s="46" t="n">
        <f aca="false">Gerson!G9</f>
        <v>192.72</v>
      </c>
      <c r="E9" s="40" t="n">
        <f aca="false">C9+D9</f>
        <v>2796.26</v>
      </c>
      <c r="F9" s="40" t="n">
        <f aca="false">Gaby!D9+Gerson!D9</f>
        <v>1129.59</v>
      </c>
      <c r="G9" s="40" t="n">
        <f aca="false">E9-F9</f>
        <v>1666.67</v>
      </c>
      <c r="H9" s="40" t="n">
        <f aca="false">Gaby!I9+Gerson!I9</f>
        <v>93333.32</v>
      </c>
      <c r="I9" s="46" t="n">
        <f aca="false">Amortización!C9</f>
        <v>2796.26</v>
      </c>
      <c r="J9" s="46" t="n">
        <f aca="false">Amortización!F9</f>
        <v>93333.32</v>
      </c>
      <c r="K9" s="13" t="str">
        <f aca="false">IF(COUNT(Gaby!F9,Gerson!F9)=2,"Pagado",IF(COUNT(Gaby!F9,Gerson!F9)=1,"Parcial","Proyectado"))</f>
        <v>Pagado</v>
      </c>
      <c r="M9" s="10" t="s">
        <v>78</v>
      </c>
      <c r="N9" s="17" t="n">
        <f aca="false">INDEX(J5:J65,N5+1)</f>
        <v>86666.64</v>
      </c>
    </row>
    <row r="10" customFormat="false" ht="15" hidden="false" customHeight="false" outlineLevel="0" collapsed="false">
      <c r="A10" s="33" t="n">
        <f aca="false">Amortización!A10</f>
        <v>5</v>
      </c>
      <c r="B10" s="34" t="n">
        <f aca="false">Amortización!B10</f>
        <v>46203</v>
      </c>
      <c r="C10" s="36" t="n">
        <f aca="false">Gaby!G10</f>
        <v>2578.76</v>
      </c>
      <c r="D10" s="36" t="n">
        <f aca="false">Gerson!G10</f>
        <v>161.88</v>
      </c>
      <c r="E10" s="17" t="n">
        <f aca="false">C10+D10</f>
        <v>2740.64</v>
      </c>
      <c r="F10" s="17" t="n">
        <f aca="false">Gaby!D10+Gerson!D10</f>
        <v>1073.97</v>
      </c>
      <c r="G10" s="17" t="n">
        <f aca="false">E10-F10</f>
        <v>1666.67</v>
      </c>
      <c r="H10" s="17" t="n">
        <f aca="false">Gaby!I10+Gerson!I10</f>
        <v>91666.65</v>
      </c>
      <c r="I10" s="36" t="n">
        <f aca="false">Amortización!C10</f>
        <v>2740.64</v>
      </c>
      <c r="J10" s="36" t="n">
        <f aca="false">Amortización!F10</f>
        <v>91666.65</v>
      </c>
      <c r="K10" s="6" t="str">
        <f aca="false">IF(COUNT(Gaby!F10,Gerson!F10)=2,"Pagado",IF(COUNT(Gaby!F10,Gerson!F10)=1,"Parcial","Proyectado"))</f>
        <v>Pagado</v>
      </c>
      <c r="M10" s="10" t="s">
        <v>79</v>
      </c>
      <c r="N10" s="17" t="n">
        <f aca="false">ROUND(N9-N8,2)</f>
        <v>0</v>
      </c>
    </row>
    <row r="11" customFormat="false" ht="15" hidden="false" customHeight="false" outlineLevel="0" collapsed="false">
      <c r="A11" s="38" t="n">
        <f aca="false">Amortización!A11</f>
        <v>6</v>
      </c>
      <c r="B11" s="39" t="n">
        <f aca="false">Amortización!B11</f>
        <v>46234</v>
      </c>
      <c r="C11" s="46" t="n">
        <f aca="false">Gaby!G11</f>
        <v>2553.99</v>
      </c>
      <c r="D11" s="46" t="n">
        <f aca="false">Gerson!G11</f>
        <v>202.63</v>
      </c>
      <c r="E11" s="40" t="n">
        <f aca="false">C11+D11</f>
        <v>2756.62</v>
      </c>
      <c r="F11" s="40" t="n">
        <f aca="false">Gaby!D11+Gerson!D11</f>
        <v>1089.95</v>
      </c>
      <c r="G11" s="40" t="n">
        <f aca="false">E11-F11</f>
        <v>1666.67</v>
      </c>
      <c r="H11" s="40" t="n">
        <f aca="false">Gaby!I11+Gerson!I11</f>
        <v>89999.98</v>
      </c>
      <c r="I11" s="46" t="n">
        <f aca="false">Amortización!C11</f>
        <v>2756.62</v>
      </c>
      <c r="J11" s="46" t="n">
        <f aca="false">Amortización!F11</f>
        <v>89999.98</v>
      </c>
      <c r="K11" s="13" t="str">
        <f aca="false">IF(COUNT(Gaby!F11,Gerson!F11)=2,"Pagado",IF(COUNT(Gaby!F11,Gerson!F11)=1,"Parcial","Proyectado"))</f>
        <v>Pagado</v>
      </c>
      <c r="M11" s="10" t="s">
        <v>80</v>
      </c>
      <c r="N11" s="17" t="n">
        <f aca="false">ROUND(SUMPRODUCT((K6:K65="Pagado")*(E6:E65-I6:I65)),2)</f>
        <v>0</v>
      </c>
    </row>
    <row r="12" customFormat="false" ht="15" hidden="false" customHeight="false" outlineLevel="0" collapsed="false">
      <c r="A12" s="33" t="n">
        <f aca="false">Amortización!A12</f>
        <v>7</v>
      </c>
      <c r="B12" s="34" t="n">
        <f aca="false">Amortización!B12</f>
        <v>46265</v>
      </c>
      <c r="C12" s="36" t="n">
        <f aca="false">Gaby!G12</f>
        <v>2529.22</v>
      </c>
      <c r="D12" s="36" t="n">
        <f aca="false">Gerson!G12</f>
        <v>207.59</v>
      </c>
      <c r="E12" s="17" t="n">
        <f aca="false">C12+D12</f>
        <v>2736.81</v>
      </c>
      <c r="F12" s="17" t="n">
        <f aca="false">Gaby!D12+Gerson!D12</f>
        <v>1070.14</v>
      </c>
      <c r="G12" s="17" t="n">
        <f aca="false">E12-F12</f>
        <v>1666.67</v>
      </c>
      <c r="H12" s="17" t="n">
        <f aca="false">Gaby!I12+Gerson!I12</f>
        <v>88333.31</v>
      </c>
      <c r="I12" s="36" t="n">
        <f aca="false">Amortización!C12</f>
        <v>2736.81</v>
      </c>
      <c r="J12" s="36" t="n">
        <f aca="false">Amortización!F12</f>
        <v>88333.31</v>
      </c>
      <c r="K12" s="6" t="str">
        <f aca="false">IF(COUNT(Gaby!F12,Gerson!F12)=2,"Pagado",IF(COUNT(Gaby!F12,Gerson!F12)=1,"Parcial","Proyectado"))</f>
        <v>Pagado</v>
      </c>
    </row>
    <row r="13" customFormat="false" ht="15" hidden="false" customHeight="false" outlineLevel="0" collapsed="false">
      <c r="A13" s="38" t="n">
        <f aca="false">Amortización!A13</f>
        <v>8</v>
      </c>
      <c r="B13" s="39" t="n">
        <f aca="false">Amortización!B13</f>
        <v>46295</v>
      </c>
      <c r="C13" s="46" t="n">
        <f aca="false">Gaby!G13</f>
        <v>2504.45</v>
      </c>
      <c r="D13" s="46" t="n">
        <f aca="false">Gerson!G13</f>
        <v>178.66</v>
      </c>
      <c r="E13" s="40" t="n">
        <f aca="false">C13+D13</f>
        <v>2683.11</v>
      </c>
      <c r="F13" s="40" t="n">
        <f aca="false">Gaby!D13+Gerson!D13</f>
        <v>1016.44</v>
      </c>
      <c r="G13" s="40" t="n">
        <f aca="false">E13-F13</f>
        <v>1666.67</v>
      </c>
      <c r="H13" s="40" t="n">
        <f aca="false">Gaby!I13+Gerson!I13</f>
        <v>86666.64</v>
      </c>
      <c r="I13" s="46" t="n">
        <f aca="false">Amortización!C13</f>
        <v>2683.11</v>
      </c>
      <c r="J13" s="46" t="n">
        <f aca="false">Amortización!F13</f>
        <v>86666.64</v>
      </c>
      <c r="K13" s="13" t="str">
        <f aca="false">IF(COUNT(Gaby!F13,Gerson!F13)=2,"Pagado",IF(COUNT(Gaby!F13,Gerson!F13)=1,"Parcial","Proyectado"))</f>
        <v>Pagado</v>
      </c>
      <c r="M13" s="32" t="s">
        <v>59</v>
      </c>
      <c r="N13" s="5"/>
    </row>
    <row r="14" customFormat="false" ht="15" hidden="false" customHeight="false" outlineLevel="0" collapsed="false">
      <c r="A14" s="33" t="n">
        <f aca="false">Amortización!A14</f>
        <v>9</v>
      </c>
      <c r="B14" s="34" t="n">
        <f aca="false">Amortización!B14</f>
        <v>46326</v>
      </c>
      <c r="C14" s="36" t="n">
        <f aca="false">Gaby!G14</f>
        <v>999.79</v>
      </c>
      <c r="D14" s="36" t="n">
        <f aca="false">Gerson!G14</f>
        <v>1697.38</v>
      </c>
      <c r="E14" s="17" t="n">
        <f aca="false">C14+D14</f>
        <v>2697.17</v>
      </c>
      <c r="F14" s="17" t="n">
        <f aca="false">Gaby!D14+Gerson!D14</f>
        <v>1030.5</v>
      </c>
      <c r="G14" s="17" t="n">
        <f aca="false">E14-F14</f>
        <v>1666.67</v>
      </c>
      <c r="H14" s="17" t="n">
        <f aca="false">Gaby!I14+Gerson!I14</f>
        <v>84999.97</v>
      </c>
      <c r="I14" s="36" t="n">
        <f aca="false">Amortización!C14</f>
        <v>2697.17</v>
      </c>
      <c r="J14" s="36" t="n">
        <f aca="false">Amortización!F14</f>
        <v>84999.97</v>
      </c>
      <c r="K14" s="6" t="str">
        <f aca="false">IF(COUNT(Gaby!F14,Gerson!F14)=2,"Pagado",IF(COUNT(Gaby!F14,Gerson!F14)=1,"Parcial","Proyectado"))</f>
        <v>Proyectado</v>
      </c>
      <c r="M14" s="10" t="s">
        <v>22</v>
      </c>
      <c r="N14" s="17" t="n">
        <f aca="false">F66</f>
        <v>35533.42</v>
      </c>
    </row>
    <row r="15" customFormat="false" ht="15" hidden="false" customHeight="false" outlineLevel="0" collapsed="false">
      <c r="A15" s="38" t="n">
        <f aca="false">Amortización!A15</f>
        <v>10</v>
      </c>
      <c r="B15" s="39" t="n">
        <f aca="false">Amortización!B15</f>
        <v>46356</v>
      </c>
      <c r="C15" s="46" t="n">
        <f aca="false">Gaby!G15</f>
        <v>980.35</v>
      </c>
      <c r="D15" s="46" t="n">
        <f aca="false">Gerson!G15</f>
        <v>1664.4</v>
      </c>
      <c r="E15" s="40" t="n">
        <f aca="false">C15+D15</f>
        <v>2644.75</v>
      </c>
      <c r="F15" s="40" t="n">
        <f aca="false">Gaby!D15+Gerson!D15</f>
        <v>978.08</v>
      </c>
      <c r="G15" s="40" t="n">
        <f aca="false">E15-F15</f>
        <v>1666.67</v>
      </c>
      <c r="H15" s="40" t="n">
        <f aca="false">Gaby!I15+Gerson!I15</f>
        <v>83333.3</v>
      </c>
      <c r="I15" s="46" t="n">
        <f aca="false">Amortización!C15</f>
        <v>2644.75</v>
      </c>
      <c r="J15" s="46" t="n">
        <f aca="false">Amortización!F15</f>
        <v>83333.3</v>
      </c>
      <c r="K15" s="13" t="str">
        <f aca="false">IF(COUNT(Gaby!F15,Gerson!F15)=2,"Pagado",IF(COUNT(Gaby!F15,Gerson!F15)=1,"Parcial","Proyectado"))</f>
        <v>Proyectado</v>
      </c>
      <c r="M15" s="10" t="s">
        <v>68</v>
      </c>
      <c r="N15" s="17" t="n">
        <f aca="false">E66</f>
        <v>135533.42</v>
      </c>
    </row>
    <row r="16" customFormat="false" ht="15" hidden="false" customHeight="false" outlineLevel="0" collapsed="false">
      <c r="A16" s="33" t="n">
        <f aca="false">Amortización!A16</f>
        <v>11</v>
      </c>
      <c r="B16" s="34" t="n">
        <f aca="false">Amortización!B16</f>
        <v>46387</v>
      </c>
      <c r="C16" s="36" t="n">
        <f aca="false">Gaby!G16</f>
        <v>985.09</v>
      </c>
      <c r="D16" s="36" t="n">
        <f aca="false">Gerson!G16</f>
        <v>1672.45</v>
      </c>
      <c r="E16" s="17" t="n">
        <f aca="false">C16+D16</f>
        <v>2657.54</v>
      </c>
      <c r="F16" s="17" t="n">
        <f aca="false">Gaby!D16+Gerson!D16</f>
        <v>990.87</v>
      </c>
      <c r="G16" s="17" t="n">
        <f aca="false">E16-F16</f>
        <v>1666.67</v>
      </c>
      <c r="H16" s="17" t="n">
        <f aca="false">Gaby!I16+Gerson!I16</f>
        <v>81666.63</v>
      </c>
      <c r="I16" s="36" t="n">
        <f aca="false">Amortización!C16</f>
        <v>2657.54</v>
      </c>
      <c r="J16" s="36" t="n">
        <f aca="false">Amortización!F16</f>
        <v>81666.63</v>
      </c>
      <c r="K16" s="6" t="str">
        <f aca="false">IF(COUNT(Gaby!F16,Gerson!F16)=2,"Pagado",IF(COUNT(Gaby!F16,Gerson!F16)=1,"Parcial","Proyectado"))</f>
        <v>Proyectado</v>
      </c>
      <c r="M16" s="10" t="s">
        <v>81</v>
      </c>
      <c r="N16" s="17" t="n">
        <f aca="false">I66</f>
        <v>135533.42</v>
      </c>
    </row>
    <row r="17" customFormat="false" ht="15" hidden="false" customHeight="false" outlineLevel="0" collapsed="false">
      <c r="A17" s="38" t="n">
        <f aca="false">Amortización!A17</f>
        <v>12</v>
      </c>
      <c r="B17" s="39" t="n">
        <f aca="false">Amortización!B17</f>
        <v>46418</v>
      </c>
      <c r="C17" s="46" t="n">
        <f aca="false">Gaby!G17</f>
        <v>977.75</v>
      </c>
      <c r="D17" s="46" t="n">
        <f aca="false">Gerson!G17</f>
        <v>1659.97</v>
      </c>
      <c r="E17" s="40" t="n">
        <f aca="false">C17+D17</f>
        <v>2637.72</v>
      </c>
      <c r="F17" s="40" t="n">
        <f aca="false">Gaby!D17+Gerson!D17</f>
        <v>971.05</v>
      </c>
      <c r="G17" s="40" t="n">
        <f aca="false">E17-F17</f>
        <v>1666.67</v>
      </c>
      <c r="H17" s="40" t="n">
        <f aca="false">Gaby!I17+Gerson!I17</f>
        <v>79999.96</v>
      </c>
      <c r="I17" s="46" t="n">
        <f aca="false">Amortización!C17</f>
        <v>2637.72</v>
      </c>
      <c r="J17" s="46" t="n">
        <f aca="false">Amortización!F17</f>
        <v>79999.96</v>
      </c>
      <c r="K17" s="13" t="str">
        <f aca="false">IF(COUNT(Gaby!F17,Gerson!F17)=2,"Pagado",IF(COUNT(Gaby!F17,Gerson!F17)=1,"Parcial","Proyectado"))</f>
        <v>Proyectado</v>
      </c>
    </row>
    <row r="18" customFormat="false" ht="15" hidden="false" customHeight="false" outlineLevel="0" collapsed="false">
      <c r="A18" s="33" t="n">
        <f aca="false">Amortización!A18</f>
        <v>13</v>
      </c>
      <c r="B18" s="34" t="n">
        <f aca="false">Amortización!B18</f>
        <v>46446</v>
      </c>
      <c r="C18" s="36" t="n">
        <f aca="false">Gaby!G18</f>
        <v>936.28</v>
      </c>
      <c r="D18" s="36" t="n">
        <f aca="false">Gerson!G18</f>
        <v>1589.57</v>
      </c>
      <c r="E18" s="17" t="n">
        <f aca="false">C18+D18</f>
        <v>2525.85</v>
      </c>
      <c r="F18" s="17" t="n">
        <f aca="false">Gaby!D18+Gerson!D18</f>
        <v>859.18</v>
      </c>
      <c r="G18" s="17" t="n">
        <f aca="false">E18-F18</f>
        <v>1666.67</v>
      </c>
      <c r="H18" s="17" t="n">
        <f aca="false">Gaby!I18+Gerson!I18</f>
        <v>78333.29</v>
      </c>
      <c r="I18" s="36" t="n">
        <f aca="false">Amortización!C18</f>
        <v>2525.85</v>
      </c>
      <c r="J18" s="36" t="n">
        <f aca="false">Amortización!F18</f>
        <v>78333.29</v>
      </c>
      <c r="K18" s="6" t="str">
        <f aca="false">IF(COUNT(Gaby!F18,Gerson!F18)=2,"Pagado",IF(COUNT(Gaby!F18,Gerson!F18)=1,"Parcial","Proyectado"))</f>
        <v>Proyectado</v>
      </c>
    </row>
    <row r="19" customFormat="false" ht="15" hidden="false" customHeight="false" outlineLevel="0" collapsed="false">
      <c r="A19" s="38" t="n">
        <f aca="false">Amortización!A19</f>
        <v>14</v>
      </c>
      <c r="B19" s="39" t="n">
        <f aca="false">Amortización!B19</f>
        <v>46477</v>
      </c>
      <c r="C19" s="46" t="n">
        <f aca="false">Gaby!G19</f>
        <v>963.06</v>
      </c>
      <c r="D19" s="46" t="n">
        <f aca="false">Gerson!G19</f>
        <v>1635.03</v>
      </c>
      <c r="E19" s="40" t="n">
        <f aca="false">C19+D19</f>
        <v>2598.09</v>
      </c>
      <c r="F19" s="40" t="n">
        <f aca="false">Gaby!D19+Gerson!D19</f>
        <v>931.42</v>
      </c>
      <c r="G19" s="40" t="n">
        <f aca="false">E19-F19</f>
        <v>1666.67</v>
      </c>
      <c r="H19" s="40" t="n">
        <f aca="false">Gaby!I19+Gerson!I19</f>
        <v>76666.62</v>
      </c>
      <c r="I19" s="46" t="n">
        <f aca="false">Amortización!C19</f>
        <v>2598.09</v>
      </c>
      <c r="J19" s="46" t="n">
        <f aca="false">Amortización!F19</f>
        <v>76666.62</v>
      </c>
      <c r="K19" s="13" t="str">
        <f aca="false">IF(COUNT(Gaby!F19,Gerson!F19)=2,"Pagado",IF(COUNT(Gaby!F19,Gerson!F19)=1,"Parcial","Proyectado"))</f>
        <v>Proyectado</v>
      </c>
    </row>
    <row r="20" customFormat="false" ht="15" hidden="false" customHeight="false" outlineLevel="0" collapsed="false">
      <c r="A20" s="33" t="n">
        <f aca="false">Amortización!A20</f>
        <v>15</v>
      </c>
      <c r="B20" s="34" t="n">
        <f aca="false">Amortización!B20</f>
        <v>46507</v>
      </c>
      <c r="C20" s="36" t="n">
        <f aca="false">Gaby!G20</f>
        <v>944.81</v>
      </c>
      <c r="D20" s="36" t="n">
        <f aca="false">Gerson!G20</f>
        <v>1604.05</v>
      </c>
      <c r="E20" s="17" t="n">
        <f aca="false">C20+D20</f>
        <v>2548.86</v>
      </c>
      <c r="F20" s="17" t="n">
        <f aca="false">Gaby!D20+Gerson!D20</f>
        <v>882.19</v>
      </c>
      <c r="G20" s="17" t="n">
        <f aca="false">E20-F20</f>
        <v>1666.67</v>
      </c>
      <c r="H20" s="17" t="n">
        <f aca="false">Gaby!I20+Gerson!I20</f>
        <v>74999.95</v>
      </c>
      <c r="I20" s="36" t="n">
        <f aca="false">Amortización!C20</f>
        <v>2548.86</v>
      </c>
      <c r="J20" s="36" t="n">
        <f aca="false">Amortización!F20</f>
        <v>74999.95</v>
      </c>
      <c r="K20" s="6" t="str">
        <f aca="false">IF(COUNT(Gaby!F20,Gerson!F20)=2,"Pagado",IF(COUNT(Gaby!F20,Gerson!F20)=1,"Parcial","Proyectado"))</f>
        <v>Proyectado</v>
      </c>
    </row>
    <row r="21" customFormat="false" ht="15" hidden="false" customHeight="false" outlineLevel="0" collapsed="false">
      <c r="A21" s="38" t="n">
        <f aca="false">Amortización!A21</f>
        <v>16</v>
      </c>
      <c r="B21" s="39" t="n">
        <f aca="false">Amortización!B21</f>
        <v>46538</v>
      </c>
      <c r="C21" s="46" t="n">
        <f aca="false">Gaby!G21</f>
        <v>948.36</v>
      </c>
      <c r="D21" s="46" t="n">
        <f aca="false">Gerson!G21</f>
        <v>1610.09</v>
      </c>
      <c r="E21" s="40" t="n">
        <f aca="false">C21+D21</f>
        <v>2558.45</v>
      </c>
      <c r="F21" s="40" t="n">
        <f aca="false">Gaby!D21+Gerson!D21</f>
        <v>891.78</v>
      </c>
      <c r="G21" s="40" t="n">
        <f aca="false">E21-F21</f>
        <v>1666.67</v>
      </c>
      <c r="H21" s="40" t="n">
        <f aca="false">Gaby!I21+Gerson!I21</f>
        <v>73333.28</v>
      </c>
      <c r="I21" s="46" t="n">
        <f aca="false">Amortización!C21</f>
        <v>2558.45</v>
      </c>
      <c r="J21" s="46" t="n">
        <f aca="false">Amortización!F21</f>
        <v>73333.28</v>
      </c>
      <c r="K21" s="13" t="str">
        <f aca="false">IF(COUNT(Gaby!F21,Gerson!F21)=2,"Pagado",IF(COUNT(Gaby!F21,Gerson!F21)=1,"Parcial","Proyectado"))</f>
        <v>Proyectado</v>
      </c>
    </row>
    <row r="22" customFormat="false" ht="15" hidden="false" customHeight="false" outlineLevel="0" collapsed="false">
      <c r="A22" s="33" t="n">
        <f aca="false">Amortización!A22</f>
        <v>17</v>
      </c>
      <c r="B22" s="34" t="n">
        <f aca="false">Amortización!B22</f>
        <v>46568</v>
      </c>
      <c r="C22" s="36" t="n">
        <f aca="false">Gaby!G22</f>
        <v>930.59</v>
      </c>
      <c r="D22" s="36" t="n">
        <f aca="false">Gerson!G22</f>
        <v>1579.92</v>
      </c>
      <c r="E22" s="17" t="n">
        <f aca="false">C22+D22</f>
        <v>2510.51</v>
      </c>
      <c r="F22" s="17" t="n">
        <f aca="false">Gaby!D22+Gerson!D22</f>
        <v>843.84</v>
      </c>
      <c r="G22" s="17" t="n">
        <f aca="false">E22-F22</f>
        <v>1666.67</v>
      </c>
      <c r="H22" s="17" t="n">
        <f aca="false">Gaby!I22+Gerson!I22</f>
        <v>71666.61</v>
      </c>
      <c r="I22" s="36" t="n">
        <f aca="false">Amortización!C22</f>
        <v>2510.51</v>
      </c>
      <c r="J22" s="36" t="n">
        <f aca="false">Amortización!F22</f>
        <v>71666.61</v>
      </c>
      <c r="K22" s="6" t="str">
        <f aca="false">IF(COUNT(Gaby!F22,Gerson!F22)=2,"Pagado",IF(COUNT(Gaby!F22,Gerson!F22)=1,"Parcial","Proyectado"))</f>
        <v>Proyectado</v>
      </c>
    </row>
    <row r="23" customFormat="false" ht="15" hidden="false" customHeight="false" outlineLevel="0" collapsed="false">
      <c r="A23" s="38" t="n">
        <f aca="false">Amortización!A23</f>
        <v>18</v>
      </c>
      <c r="B23" s="39" t="n">
        <f aca="false">Amortización!B23</f>
        <v>46599</v>
      </c>
      <c r="C23" s="46" t="n">
        <f aca="false">Gaby!G23</f>
        <v>933.67</v>
      </c>
      <c r="D23" s="46" t="n">
        <f aca="false">Gerson!G23</f>
        <v>1585.15</v>
      </c>
      <c r="E23" s="40" t="n">
        <f aca="false">C23+D23</f>
        <v>2518.82</v>
      </c>
      <c r="F23" s="40" t="n">
        <f aca="false">Gaby!D23+Gerson!D23</f>
        <v>852.15</v>
      </c>
      <c r="G23" s="40" t="n">
        <f aca="false">E23-F23</f>
        <v>1666.67</v>
      </c>
      <c r="H23" s="40" t="n">
        <f aca="false">Gaby!I23+Gerson!I23</f>
        <v>69999.94</v>
      </c>
      <c r="I23" s="46" t="n">
        <f aca="false">Amortización!C23</f>
        <v>2518.82</v>
      </c>
      <c r="J23" s="46" t="n">
        <f aca="false">Amortización!F23</f>
        <v>69999.94</v>
      </c>
      <c r="K23" s="13" t="str">
        <f aca="false">IF(COUNT(Gaby!F23,Gerson!F23)=2,"Pagado",IF(COUNT(Gaby!F23,Gerson!F23)=1,"Parcial","Proyectado"))</f>
        <v>Proyectado</v>
      </c>
    </row>
    <row r="24" customFormat="false" ht="15" hidden="false" customHeight="false" outlineLevel="0" collapsed="false">
      <c r="A24" s="33" t="n">
        <f aca="false">Amortización!A24</f>
        <v>19</v>
      </c>
      <c r="B24" s="34" t="n">
        <f aca="false">Amortización!B24</f>
        <v>46630</v>
      </c>
      <c r="C24" s="36" t="n">
        <f aca="false">Gaby!G24</f>
        <v>926.33</v>
      </c>
      <c r="D24" s="36" t="n">
        <f aca="false">Gerson!G24</f>
        <v>1572.67</v>
      </c>
      <c r="E24" s="17" t="n">
        <f aca="false">C24+D24</f>
        <v>2499</v>
      </c>
      <c r="F24" s="17" t="n">
        <f aca="false">Gaby!D24+Gerson!D24</f>
        <v>832.33</v>
      </c>
      <c r="G24" s="17" t="n">
        <f aca="false">E24-F24</f>
        <v>1666.67</v>
      </c>
      <c r="H24" s="17" t="n">
        <f aca="false">Gaby!I24+Gerson!I24</f>
        <v>68333.27</v>
      </c>
      <c r="I24" s="36" t="n">
        <f aca="false">Amortización!C24</f>
        <v>2499</v>
      </c>
      <c r="J24" s="36" t="n">
        <f aca="false">Amortización!F24</f>
        <v>68333.27</v>
      </c>
      <c r="K24" s="6" t="str">
        <f aca="false">IF(COUNT(Gaby!F24,Gerson!F24)=2,"Pagado",IF(COUNT(Gaby!F24,Gerson!F24)=1,"Parcial","Proyectado"))</f>
        <v>Proyectado</v>
      </c>
    </row>
    <row r="25" customFormat="false" ht="15" hidden="false" customHeight="false" outlineLevel="0" collapsed="false">
      <c r="A25" s="38" t="n">
        <f aca="false">Amortización!A25</f>
        <v>20</v>
      </c>
      <c r="B25" s="39" t="n">
        <f aca="false">Amortización!B25</f>
        <v>46660</v>
      </c>
      <c r="C25" s="46" t="n">
        <f aca="false">Gaby!G25</f>
        <v>909.27</v>
      </c>
      <c r="D25" s="46" t="n">
        <f aca="false">Gerson!G25</f>
        <v>1543.7</v>
      </c>
      <c r="E25" s="40" t="n">
        <f aca="false">C25+D25</f>
        <v>2452.97</v>
      </c>
      <c r="F25" s="40" t="n">
        <f aca="false">Gaby!D25+Gerson!D25</f>
        <v>786.3</v>
      </c>
      <c r="G25" s="40" t="n">
        <f aca="false">E25-F25</f>
        <v>1666.67</v>
      </c>
      <c r="H25" s="40" t="n">
        <f aca="false">Gaby!I25+Gerson!I25</f>
        <v>66666.6</v>
      </c>
      <c r="I25" s="46" t="n">
        <f aca="false">Amortización!C25</f>
        <v>2452.97</v>
      </c>
      <c r="J25" s="46" t="n">
        <f aca="false">Amortización!F25</f>
        <v>66666.6</v>
      </c>
      <c r="K25" s="13" t="str">
        <f aca="false">IF(COUNT(Gaby!F25,Gerson!F25)=2,"Pagado",IF(COUNT(Gaby!F25,Gerson!F25)=1,"Parcial","Proyectado"))</f>
        <v>Proyectado</v>
      </c>
    </row>
    <row r="26" customFormat="false" ht="15" hidden="false" customHeight="false" outlineLevel="0" collapsed="false">
      <c r="A26" s="33" t="n">
        <f aca="false">Amortización!A26</f>
        <v>21</v>
      </c>
      <c r="B26" s="34" t="n">
        <f aca="false">Amortización!B26</f>
        <v>46691</v>
      </c>
      <c r="C26" s="36" t="n">
        <f aca="false">Gaby!G26</f>
        <v>911.63</v>
      </c>
      <c r="D26" s="36" t="n">
        <f aca="false">Gerson!G26</f>
        <v>1547.73</v>
      </c>
      <c r="E26" s="17" t="n">
        <f aca="false">C26+D26</f>
        <v>2459.36</v>
      </c>
      <c r="F26" s="17" t="n">
        <f aca="false">Gaby!D26+Gerson!D26</f>
        <v>792.69</v>
      </c>
      <c r="G26" s="17" t="n">
        <f aca="false">E26-F26</f>
        <v>1666.67</v>
      </c>
      <c r="H26" s="17" t="n">
        <f aca="false">Gaby!I26+Gerson!I26</f>
        <v>64999.93</v>
      </c>
      <c r="I26" s="36" t="n">
        <f aca="false">Amortización!C26</f>
        <v>2459.36</v>
      </c>
      <c r="J26" s="36" t="n">
        <f aca="false">Amortización!F26</f>
        <v>64999.93</v>
      </c>
      <c r="K26" s="6" t="str">
        <f aca="false">IF(COUNT(Gaby!F26,Gerson!F26)=2,"Pagado",IF(COUNT(Gaby!F26,Gerson!F26)=1,"Parcial","Proyectado"))</f>
        <v>Proyectado</v>
      </c>
    </row>
    <row r="27" customFormat="false" ht="15" hidden="false" customHeight="false" outlineLevel="0" collapsed="false">
      <c r="A27" s="38" t="n">
        <f aca="false">Amortización!A27</f>
        <v>22</v>
      </c>
      <c r="B27" s="39" t="n">
        <f aca="false">Amortización!B27</f>
        <v>46721</v>
      </c>
      <c r="C27" s="46" t="n">
        <f aca="false">Gaby!G27</f>
        <v>895.05</v>
      </c>
      <c r="D27" s="46" t="n">
        <f aca="false">Gerson!G27</f>
        <v>1519.56</v>
      </c>
      <c r="E27" s="40" t="n">
        <f aca="false">C27+D27</f>
        <v>2414.61</v>
      </c>
      <c r="F27" s="40" t="n">
        <f aca="false">Gaby!D27+Gerson!D27</f>
        <v>747.94</v>
      </c>
      <c r="G27" s="40" t="n">
        <f aca="false">E27-F27</f>
        <v>1666.67</v>
      </c>
      <c r="H27" s="40" t="n">
        <f aca="false">Gaby!I27+Gerson!I27</f>
        <v>63333.26</v>
      </c>
      <c r="I27" s="46" t="n">
        <f aca="false">Amortización!C27</f>
        <v>2414.61</v>
      </c>
      <c r="J27" s="46" t="n">
        <f aca="false">Amortización!F27</f>
        <v>63333.26</v>
      </c>
      <c r="K27" s="13" t="str">
        <f aca="false">IF(COUNT(Gaby!F27,Gerson!F27)=2,"Pagado",IF(COUNT(Gaby!F27,Gerson!F27)=1,"Parcial","Proyectado"))</f>
        <v>Proyectado</v>
      </c>
    </row>
    <row r="28" customFormat="false" ht="15" hidden="false" customHeight="false" outlineLevel="0" collapsed="false">
      <c r="A28" s="33" t="n">
        <f aca="false">Amortización!A28</f>
        <v>23</v>
      </c>
      <c r="B28" s="34" t="n">
        <f aca="false">Amortización!B28</f>
        <v>46752</v>
      </c>
      <c r="C28" s="36" t="n">
        <f aca="false">Gaby!G28</f>
        <v>896.94</v>
      </c>
      <c r="D28" s="36" t="n">
        <f aca="false">Gerson!G28</f>
        <v>1522.79</v>
      </c>
      <c r="E28" s="17" t="n">
        <f aca="false">C28+D28</f>
        <v>2419.73</v>
      </c>
      <c r="F28" s="17" t="n">
        <f aca="false">Gaby!D28+Gerson!D28</f>
        <v>753.06</v>
      </c>
      <c r="G28" s="17" t="n">
        <f aca="false">E28-F28</f>
        <v>1666.67</v>
      </c>
      <c r="H28" s="17" t="n">
        <f aca="false">Gaby!I28+Gerson!I28</f>
        <v>61666.59</v>
      </c>
      <c r="I28" s="36" t="n">
        <f aca="false">Amortización!C28</f>
        <v>2419.73</v>
      </c>
      <c r="J28" s="36" t="n">
        <f aca="false">Amortización!F28</f>
        <v>61666.59</v>
      </c>
      <c r="K28" s="6" t="str">
        <f aca="false">IF(COUNT(Gaby!F28,Gerson!F28)=2,"Pagado",IF(COUNT(Gaby!F28,Gerson!F28)=1,"Parcial","Proyectado"))</f>
        <v>Proyectado</v>
      </c>
    </row>
    <row r="29" customFormat="false" ht="15" hidden="false" customHeight="false" outlineLevel="0" collapsed="false">
      <c r="A29" s="38" t="n">
        <f aca="false">Amortización!A29</f>
        <v>24</v>
      </c>
      <c r="B29" s="39" t="n">
        <f aca="false">Amortización!B29</f>
        <v>46783</v>
      </c>
      <c r="C29" s="46" t="n">
        <f aca="false">Gaby!G29</f>
        <v>888.88</v>
      </c>
      <c r="D29" s="46" t="n">
        <f aca="false">Gerson!G29</f>
        <v>1509.09</v>
      </c>
      <c r="E29" s="40" t="n">
        <f aca="false">C29+D29</f>
        <v>2397.97</v>
      </c>
      <c r="F29" s="40" t="n">
        <f aca="false">Gaby!D29+Gerson!D29</f>
        <v>731.3</v>
      </c>
      <c r="G29" s="40" t="n">
        <f aca="false">E29-F29</f>
        <v>1666.67</v>
      </c>
      <c r="H29" s="40" t="n">
        <f aca="false">Gaby!I29+Gerson!I29</f>
        <v>59999.92</v>
      </c>
      <c r="I29" s="46" t="n">
        <f aca="false">Amortización!C29</f>
        <v>2397.97</v>
      </c>
      <c r="J29" s="46" t="n">
        <f aca="false">Amortización!F29</f>
        <v>59999.92</v>
      </c>
      <c r="K29" s="13" t="str">
        <f aca="false">IF(COUNT(Gaby!F29,Gerson!F29)=2,"Pagado",IF(COUNT(Gaby!F29,Gerson!F29)=1,"Parcial","Proyectado"))</f>
        <v>Proyectado</v>
      </c>
    </row>
    <row r="30" customFormat="false" ht="15" hidden="false" customHeight="false" outlineLevel="0" collapsed="false">
      <c r="A30" s="33" t="n">
        <f aca="false">Amortización!A30</f>
        <v>25</v>
      </c>
      <c r="B30" s="34" t="n">
        <f aca="false">Amortización!B30</f>
        <v>46812</v>
      </c>
      <c r="C30" s="36" t="n">
        <f aca="false">Gaby!G30</f>
        <v>864.51</v>
      </c>
      <c r="D30" s="36" t="n">
        <f aca="false">Gerson!G30</f>
        <v>1467.73</v>
      </c>
      <c r="E30" s="17" t="n">
        <f aca="false">C30+D30</f>
        <v>2332.24</v>
      </c>
      <c r="F30" s="17" t="n">
        <f aca="false">Gaby!D30+Gerson!D30</f>
        <v>665.57</v>
      </c>
      <c r="G30" s="17" t="n">
        <f aca="false">E30-F30</f>
        <v>1666.67</v>
      </c>
      <c r="H30" s="17" t="n">
        <f aca="false">Gaby!I30+Gerson!I30</f>
        <v>58333.25</v>
      </c>
      <c r="I30" s="36" t="n">
        <f aca="false">Amortización!C30</f>
        <v>2332.24</v>
      </c>
      <c r="J30" s="36" t="n">
        <f aca="false">Amortización!F30</f>
        <v>58333.25</v>
      </c>
      <c r="K30" s="6" t="str">
        <f aca="false">IF(COUNT(Gaby!F30,Gerson!F30)=2,"Pagado",IF(COUNT(Gaby!F30,Gerson!F30)=1,"Parcial","Proyectado"))</f>
        <v>Proyectado</v>
      </c>
    </row>
    <row r="31" customFormat="false" ht="15" hidden="false" customHeight="false" outlineLevel="0" collapsed="false">
      <c r="A31" s="38" t="n">
        <f aca="false">Amortización!A31</f>
        <v>26</v>
      </c>
      <c r="B31" s="39" t="n">
        <f aca="false">Amortización!B31</f>
        <v>46843</v>
      </c>
      <c r="C31" s="46" t="n">
        <f aca="false">Gaby!G31</f>
        <v>874.2</v>
      </c>
      <c r="D31" s="46" t="n">
        <f aca="false">Gerson!G31</f>
        <v>1484.18</v>
      </c>
      <c r="E31" s="40" t="n">
        <f aca="false">C31+D31</f>
        <v>2358.38</v>
      </c>
      <c r="F31" s="40" t="n">
        <f aca="false">Gaby!D31+Gerson!D31</f>
        <v>691.71</v>
      </c>
      <c r="G31" s="40" t="n">
        <f aca="false">E31-F31</f>
        <v>1666.67</v>
      </c>
      <c r="H31" s="40" t="n">
        <f aca="false">Gaby!I31+Gerson!I31</f>
        <v>56666.58</v>
      </c>
      <c r="I31" s="46" t="n">
        <f aca="false">Amortización!C31</f>
        <v>2358.38</v>
      </c>
      <c r="J31" s="46" t="n">
        <f aca="false">Amortización!F31</f>
        <v>56666.58</v>
      </c>
      <c r="K31" s="13" t="str">
        <f aca="false">IF(COUNT(Gaby!F31,Gerson!F31)=2,"Pagado",IF(COUNT(Gaby!F31,Gerson!F31)=1,"Parcial","Proyectado"))</f>
        <v>Proyectado</v>
      </c>
    </row>
    <row r="32" customFormat="false" ht="15" hidden="false" customHeight="false" outlineLevel="0" collapsed="false">
      <c r="A32" s="33" t="n">
        <f aca="false">Amortización!A32</f>
        <v>27</v>
      </c>
      <c r="B32" s="34" t="n">
        <f aca="false">Amortización!B32</f>
        <v>46873</v>
      </c>
      <c r="C32" s="36" t="n">
        <f aca="false">Gaby!G32</f>
        <v>858.84</v>
      </c>
      <c r="D32" s="36" t="n">
        <f aca="false">Gerson!G32</f>
        <v>1458.1</v>
      </c>
      <c r="E32" s="17" t="n">
        <f aca="false">C32+D32</f>
        <v>2316.94</v>
      </c>
      <c r="F32" s="17" t="n">
        <f aca="false">Gaby!D32+Gerson!D32</f>
        <v>650.27</v>
      </c>
      <c r="G32" s="17" t="n">
        <f aca="false">E32-F32</f>
        <v>1666.67</v>
      </c>
      <c r="H32" s="17" t="n">
        <f aca="false">Gaby!I32+Gerson!I32</f>
        <v>54999.91</v>
      </c>
      <c r="I32" s="36" t="n">
        <f aca="false">Amortización!C32</f>
        <v>2316.94</v>
      </c>
      <c r="J32" s="36" t="n">
        <f aca="false">Amortización!F32</f>
        <v>54999.91</v>
      </c>
      <c r="K32" s="6" t="str">
        <f aca="false">IF(COUNT(Gaby!F32,Gerson!F32)=2,"Pagado",IF(COUNT(Gaby!F32,Gerson!F32)=1,"Parcial","Proyectado"))</f>
        <v>Proyectado</v>
      </c>
    </row>
    <row r="33" customFormat="false" ht="15" hidden="false" customHeight="false" outlineLevel="0" collapsed="false">
      <c r="A33" s="38" t="n">
        <f aca="false">Amortización!A33</f>
        <v>28</v>
      </c>
      <c r="B33" s="39" t="n">
        <f aca="false">Amortización!B33</f>
        <v>46904</v>
      </c>
      <c r="C33" s="46" t="n">
        <f aca="false">Gaby!G33</f>
        <v>859.55</v>
      </c>
      <c r="D33" s="46" t="n">
        <f aca="false">Gerson!G33</f>
        <v>1459.3</v>
      </c>
      <c r="E33" s="40" t="n">
        <f aca="false">C33+D33</f>
        <v>2318.85</v>
      </c>
      <c r="F33" s="40" t="n">
        <f aca="false">Gaby!D33+Gerson!D33</f>
        <v>652.18</v>
      </c>
      <c r="G33" s="40" t="n">
        <f aca="false">E33-F33</f>
        <v>1666.67</v>
      </c>
      <c r="H33" s="40" t="n">
        <f aca="false">Gaby!I33+Gerson!I33</f>
        <v>53333.24</v>
      </c>
      <c r="I33" s="46" t="n">
        <f aca="false">Amortización!C33</f>
        <v>2318.85</v>
      </c>
      <c r="J33" s="46" t="n">
        <f aca="false">Amortización!F33</f>
        <v>53333.24</v>
      </c>
      <c r="K33" s="13" t="str">
        <f aca="false">IF(COUNT(Gaby!F33,Gerson!F33)=2,"Pagado",IF(COUNT(Gaby!F33,Gerson!F33)=1,"Parcial","Proyectado"))</f>
        <v>Proyectado</v>
      </c>
    </row>
    <row r="34" customFormat="false" ht="15" hidden="false" customHeight="false" outlineLevel="0" collapsed="false">
      <c r="A34" s="33" t="n">
        <f aca="false">Amortización!A34</f>
        <v>29</v>
      </c>
      <c r="B34" s="34" t="n">
        <f aca="false">Amortización!B34</f>
        <v>46934</v>
      </c>
      <c r="C34" s="36" t="n">
        <f aca="false">Gaby!G34</f>
        <v>844.66</v>
      </c>
      <c r="D34" s="36" t="n">
        <f aca="false">Gerson!G34</f>
        <v>1434.03</v>
      </c>
      <c r="E34" s="17" t="n">
        <f aca="false">C34+D34</f>
        <v>2278.69</v>
      </c>
      <c r="F34" s="17" t="n">
        <f aca="false">Gaby!D34+Gerson!D34</f>
        <v>612.02</v>
      </c>
      <c r="G34" s="17" t="n">
        <f aca="false">E34-F34</f>
        <v>1666.67</v>
      </c>
      <c r="H34" s="17" t="n">
        <f aca="false">Gaby!I34+Gerson!I34</f>
        <v>51666.57</v>
      </c>
      <c r="I34" s="36" t="n">
        <f aca="false">Amortización!C34</f>
        <v>2278.69</v>
      </c>
      <c r="J34" s="36" t="n">
        <f aca="false">Amortización!F34</f>
        <v>51666.57</v>
      </c>
      <c r="K34" s="6" t="str">
        <f aca="false">IF(COUNT(Gaby!F34,Gerson!F34)=2,"Pagado",IF(COUNT(Gaby!F34,Gerson!F34)=1,"Parcial","Proyectado"))</f>
        <v>Proyectado</v>
      </c>
    </row>
    <row r="35" customFormat="false" ht="15" hidden="false" customHeight="false" outlineLevel="0" collapsed="false">
      <c r="A35" s="38" t="n">
        <f aca="false">Amortización!A35</f>
        <v>30</v>
      </c>
      <c r="B35" s="39" t="n">
        <f aca="false">Amortización!B35</f>
        <v>46965</v>
      </c>
      <c r="C35" s="46" t="n">
        <f aca="false">Gaby!G35</f>
        <v>844.9</v>
      </c>
      <c r="D35" s="46" t="n">
        <f aca="false">Gerson!G35</f>
        <v>1434.43</v>
      </c>
      <c r="E35" s="40" t="n">
        <f aca="false">C35+D35</f>
        <v>2279.33</v>
      </c>
      <c r="F35" s="40" t="n">
        <f aca="false">Gaby!D35+Gerson!D35</f>
        <v>612.66</v>
      </c>
      <c r="G35" s="40" t="n">
        <f aca="false">E35-F35</f>
        <v>1666.67</v>
      </c>
      <c r="H35" s="40" t="n">
        <f aca="false">Gaby!I35+Gerson!I35</f>
        <v>49999.9</v>
      </c>
      <c r="I35" s="46" t="n">
        <f aca="false">Amortización!C35</f>
        <v>2279.33</v>
      </c>
      <c r="J35" s="46" t="n">
        <f aca="false">Amortización!F35</f>
        <v>49999.9</v>
      </c>
      <c r="K35" s="13" t="str">
        <f aca="false">IF(COUNT(Gaby!F35,Gerson!F35)=2,"Pagado",IF(COUNT(Gaby!F35,Gerson!F35)=1,"Parcial","Proyectado"))</f>
        <v>Proyectado</v>
      </c>
    </row>
    <row r="36" customFormat="false" ht="15" hidden="false" customHeight="false" outlineLevel="0" collapsed="false">
      <c r="A36" s="33" t="n">
        <f aca="false">Amortización!A36</f>
        <v>31</v>
      </c>
      <c r="B36" s="34" t="n">
        <f aca="false">Amortización!B36</f>
        <v>46996</v>
      </c>
      <c r="C36" s="36" t="n">
        <f aca="false">Gaby!G36</f>
        <v>837.57</v>
      </c>
      <c r="D36" s="36" t="n">
        <f aca="false">Gerson!G36</f>
        <v>1421.99</v>
      </c>
      <c r="E36" s="17" t="n">
        <f aca="false">C36+D36</f>
        <v>2259.56</v>
      </c>
      <c r="F36" s="17" t="n">
        <f aca="false">Gaby!D36+Gerson!D36</f>
        <v>592.89</v>
      </c>
      <c r="G36" s="17" t="n">
        <f aca="false">E36-F36</f>
        <v>1666.67</v>
      </c>
      <c r="H36" s="17" t="n">
        <f aca="false">Gaby!I36+Gerson!I36</f>
        <v>48333.23</v>
      </c>
      <c r="I36" s="36" t="n">
        <f aca="false">Amortización!C36</f>
        <v>2259.56</v>
      </c>
      <c r="J36" s="36" t="n">
        <f aca="false">Amortización!F36</f>
        <v>48333.23</v>
      </c>
      <c r="K36" s="6" t="str">
        <f aca="false">IF(COUNT(Gaby!F36,Gerson!F36)=2,"Pagado",IF(COUNT(Gaby!F36,Gerson!F36)=1,"Parcial","Proyectado"))</f>
        <v>Proyectado</v>
      </c>
    </row>
    <row r="37" customFormat="false" ht="15" hidden="false" customHeight="false" outlineLevel="0" collapsed="false">
      <c r="A37" s="38" t="n">
        <f aca="false">Amortización!A37</f>
        <v>32</v>
      </c>
      <c r="B37" s="39" t="n">
        <f aca="false">Amortización!B37</f>
        <v>47026</v>
      </c>
      <c r="C37" s="46" t="n">
        <f aca="false">Gaby!G37</f>
        <v>823.39</v>
      </c>
      <c r="D37" s="46" t="n">
        <f aca="false">Gerson!G37</f>
        <v>1397.92</v>
      </c>
      <c r="E37" s="40" t="n">
        <f aca="false">C37+D37</f>
        <v>2221.31</v>
      </c>
      <c r="F37" s="40" t="n">
        <f aca="false">Gaby!D37+Gerson!D37</f>
        <v>554.64</v>
      </c>
      <c r="G37" s="40" t="n">
        <f aca="false">E37-F37</f>
        <v>1666.67</v>
      </c>
      <c r="H37" s="40" t="n">
        <f aca="false">Gaby!I37+Gerson!I37</f>
        <v>46666.56</v>
      </c>
      <c r="I37" s="46" t="n">
        <f aca="false">Amortización!C37</f>
        <v>2221.31</v>
      </c>
      <c r="J37" s="46" t="n">
        <f aca="false">Amortización!F37</f>
        <v>46666.56</v>
      </c>
      <c r="K37" s="13" t="str">
        <f aca="false">IF(COUNT(Gaby!F37,Gerson!F37)=2,"Pagado",IF(COUNT(Gaby!F37,Gerson!F37)=1,"Parcial","Proyectado"))</f>
        <v>Proyectado</v>
      </c>
    </row>
    <row r="38" customFormat="false" ht="15" hidden="false" customHeight="false" outlineLevel="0" collapsed="false">
      <c r="A38" s="33" t="n">
        <f aca="false">Amortización!A38</f>
        <v>33</v>
      </c>
      <c r="B38" s="34" t="n">
        <f aca="false">Amortización!B38</f>
        <v>47057</v>
      </c>
      <c r="C38" s="36" t="n">
        <f aca="false">Gaby!G38</f>
        <v>822.92</v>
      </c>
      <c r="D38" s="36" t="n">
        <f aca="false">Gerson!G38</f>
        <v>1397.12</v>
      </c>
      <c r="E38" s="17" t="n">
        <f aca="false">C38+D38</f>
        <v>2220.04</v>
      </c>
      <c r="F38" s="17" t="n">
        <f aca="false">Gaby!D38+Gerson!D38</f>
        <v>553.37</v>
      </c>
      <c r="G38" s="17" t="n">
        <f aca="false">E38-F38</f>
        <v>1666.67</v>
      </c>
      <c r="H38" s="17" t="n">
        <f aca="false">Gaby!I38+Gerson!I38</f>
        <v>44999.89</v>
      </c>
      <c r="I38" s="36" t="n">
        <f aca="false">Amortización!C38</f>
        <v>2220.04</v>
      </c>
      <c r="J38" s="36" t="n">
        <f aca="false">Amortización!F38</f>
        <v>44999.89</v>
      </c>
      <c r="K38" s="6" t="str">
        <f aca="false">IF(COUNT(Gaby!F38,Gerson!F38)=2,"Pagado",IF(COUNT(Gaby!F38,Gerson!F38)=1,"Parcial","Proyectado"))</f>
        <v>Proyectado</v>
      </c>
    </row>
    <row r="39" customFormat="false" ht="15" hidden="false" customHeight="false" outlineLevel="0" collapsed="false">
      <c r="A39" s="38" t="n">
        <f aca="false">Amortización!A39</f>
        <v>34</v>
      </c>
      <c r="B39" s="39" t="n">
        <f aca="false">Amortización!B39</f>
        <v>47087</v>
      </c>
      <c r="C39" s="46" t="n">
        <f aca="false">Gaby!G39</f>
        <v>809.22</v>
      </c>
      <c r="D39" s="46" t="n">
        <f aca="false">Gerson!G39</f>
        <v>1373.84</v>
      </c>
      <c r="E39" s="40" t="n">
        <f aca="false">C39+D39</f>
        <v>2183.06</v>
      </c>
      <c r="F39" s="40" t="n">
        <f aca="false">Gaby!D39+Gerson!D39</f>
        <v>516.39</v>
      </c>
      <c r="G39" s="40" t="n">
        <f aca="false">E39-F39</f>
        <v>1666.67</v>
      </c>
      <c r="H39" s="40" t="n">
        <f aca="false">Gaby!I39+Gerson!I39</f>
        <v>43333.22</v>
      </c>
      <c r="I39" s="46" t="n">
        <f aca="false">Amortización!C39</f>
        <v>2183.06</v>
      </c>
      <c r="J39" s="46" t="n">
        <f aca="false">Amortización!F39</f>
        <v>43333.22</v>
      </c>
      <c r="K39" s="13" t="str">
        <f aca="false">IF(COUNT(Gaby!F39,Gerson!F39)=2,"Pagado",IF(COUNT(Gaby!F39,Gerson!F39)=1,"Parcial","Proyectado"))</f>
        <v>Proyectado</v>
      </c>
    </row>
    <row r="40" customFormat="false" ht="15" hidden="false" customHeight="false" outlineLevel="0" collapsed="false">
      <c r="A40" s="33" t="n">
        <f aca="false">Amortización!A40</f>
        <v>35</v>
      </c>
      <c r="B40" s="34" t="n">
        <f aca="false">Amortización!B40</f>
        <v>47118</v>
      </c>
      <c r="C40" s="36" t="n">
        <f aca="false">Gaby!G40</f>
        <v>808.27</v>
      </c>
      <c r="D40" s="36" t="n">
        <f aca="false">Gerson!G40</f>
        <v>1372.24</v>
      </c>
      <c r="E40" s="17" t="n">
        <f aca="false">C40+D40</f>
        <v>2180.51</v>
      </c>
      <c r="F40" s="17" t="n">
        <f aca="false">Gaby!D40+Gerson!D40</f>
        <v>513.84</v>
      </c>
      <c r="G40" s="17" t="n">
        <f aca="false">E40-F40</f>
        <v>1666.67</v>
      </c>
      <c r="H40" s="17" t="n">
        <f aca="false">Gaby!I40+Gerson!I40</f>
        <v>41666.55</v>
      </c>
      <c r="I40" s="36" t="n">
        <f aca="false">Amortización!C40</f>
        <v>2180.51</v>
      </c>
      <c r="J40" s="36" t="n">
        <f aca="false">Amortización!F40</f>
        <v>41666.55</v>
      </c>
      <c r="K40" s="6" t="str">
        <f aca="false">IF(COUNT(Gaby!F40,Gerson!F40)=2,"Pagado",IF(COUNT(Gaby!F40,Gerson!F40)=1,"Parcial","Proyectado"))</f>
        <v>Proyectado</v>
      </c>
    </row>
    <row r="41" customFormat="false" ht="15" hidden="false" customHeight="false" outlineLevel="0" collapsed="false">
      <c r="A41" s="38" t="n">
        <f aca="false">Amortización!A41</f>
        <v>36</v>
      </c>
      <c r="B41" s="39" t="n">
        <f aca="false">Amortización!B41</f>
        <v>47149</v>
      </c>
      <c r="C41" s="46" t="n">
        <f aca="false">Gaby!G41</f>
        <v>801.43</v>
      </c>
      <c r="D41" s="46" t="n">
        <f aca="false">Gerson!G41</f>
        <v>1360.63</v>
      </c>
      <c r="E41" s="40" t="n">
        <f aca="false">C41+D41</f>
        <v>2162.06</v>
      </c>
      <c r="F41" s="40" t="n">
        <f aca="false">Gaby!D41+Gerson!D41</f>
        <v>495.39</v>
      </c>
      <c r="G41" s="40" t="n">
        <f aca="false">E41-F41</f>
        <v>1666.67</v>
      </c>
      <c r="H41" s="40" t="n">
        <f aca="false">Gaby!I41+Gerson!I41</f>
        <v>39999.88</v>
      </c>
      <c r="I41" s="46" t="n">
        <f aca="false">Amortización!C41</f>
        <v>2162.06</v>
      </c>
      <c r="J41" s="46" t="n">
        <f aca="false">Amortización!F41</f>
        <v>39999.88</v>
      </c>
      <c r="K41" s="13" t="str">
        <f aca="false">IF(COUNT(Gaby!F41,Gerson!F41)=2,"Pagado",IF(COUNT(Gaby!F41,Gerson!F41)=1,"Parcial","Proyectado"))</f>
        <v>Proyectado</v>
      </c>
    </row>
    <row r="42" customFormat="false" ht="15" hidden="false" customHeight="false" outlineLevel="0" collapsed="false">
      <c r="A42" s="33" t="n">
        <f aca="false">Amortización!A42</f>
        <v>37</v>
      </c>
      <c r="B42" s="34" t="n">
        <f aca="false">Amortización!B42</f>
        <v>47177</v>
      </c>
      <c r="C42" s="36" t="n">
        <f aca="false">Gaby!G42</f>
        <v>777.04</v>
      </c>
      <c r="D42" s="36" t="n">
        <f aca="false">Gerson!G42</f>
        <v>1319.22</v>
      </c>
      <c r="E42" s="17" t="n">
        <f aca="false">C42+D42</f>
        <v>2096.26</v>
      </c>
      <c r="F42" s="17" t="n">
        <f aca="false">Gaby!D42+Gerson!D42</f>
        <v>429.59</v>
      </c>
      <c r="G42" s="17" t="n">
        <f aca="false">E42-F42</f>
        <v>1666.67</v>
      </c>
      <c r="H42" s="17" t="n">
        <f aca="false">Gaby!I42+Gerson!I42</f>
        <v>38333.21</v>
      </c>
      <c r="I42" s="36" t="n">
        <f aca="false">Amortización!C42</f>
        <v>2096.26</v>
      </c>
      <c r="J42" s="36" t="n">
        <f aca="false">Amortización!F42</f>
        <v>38333.21</v>
      </c>
      <c r="K42" s="6" t="str">
        <f aca="false">IF(COUNT(Gaby!F42,Gerson!F42)=2,"Pagado",IF(COUNT(Gaby!F42,Gerson!F42)=1,"Parcial","Proyectado"))</f>
        <v>Proyectado</v>
      </c>
    </row>
    <row r="43" customFormat="false" ht="15" hidden="false" customHeight="false" outlineLevel="0" collapsed="false">
      <c r="A43" s="38" t="n">
        <f aca="false">Amortización!A43</f>
        <v>38</v>
      </c>
      <c r="B43" s="39" t="n">
        <f aca="false">Amortización!B43</f>
        <v>47208</v>
      </c>
      <c r="C43" s="46" t="n">
        <f aca="false">Gaby!G43</f>
        <v>786.75</v>
      </c>
      <c r="D43" s="46" t="n">
        <f aca="false">Gerson!G43</f>
        <v>1335.72</v>
      </c>
      <c r="E43" s="40" t="n">
        <f aca="false">C43+D43</f>
        <v>2122.47</v>
      </c>
      <c r="F43" s="40" t="n">
        <f aca="false">Gaby!D43+Gerson!D43</f>
        <v>455.8</v>
      </c>
      <c r="G43" s="40" t="n">
        <f aca="false">E43-F43</f>
        <v>1666.67</v>
      </c>
      <c r="H43" s="40" t="n">
        <f aca="false">Gaby!I43+Gerson!I43</f>
        <v>36666.54</v>
      </c>
      <c r="I43" s="46" t="n">
        <f aca="false">Amortización!C43</f>
        <v>2122.47</v>
      </c>
      <c r="J43" s="46" t="n">
        <f aca="false">Amortización!F43</f>
        <v>36666.54</v>
      </c>
      <c r="K43" s="13" t="str">
        <f aca="false">IF(COUNT(Gaby!F43,Gerson!F43)=2,"Pagado",IF(COUNT(Gaby!F43,Gerson!F43)=1,"Parcial","Proyectado"))</f>
        <v>Proyectado</v>
      </c>
    </row>
    <row r="44" customFormat="false" ht="15" hidden="false" customHeight="false" outlineLevel="0" collapsed="false">
      <c r="A44" s="33" t="n">
        <f aca="false">Amortización!A44</f>
        <v>39</v>
      </c>
      <c r="B44" s="34" t="n">
        <f aca="false">Amortización!B44</f>
        <v>47238</v>
      </c>
      <c r="C44" s="36" t="n">
        <f aca="false">Gaby!G44</f>
        <v>774.2</v>
      </c>
      <c r="D44" s="36" t="n">
        <f aca="false">Gerson!G44</f>
        <v>1314.39</v>
      </c>
      <c r="E44" s="17" t="n">
        <f aca="false">C44+D44</f>
        <v>2088.59</v>
      </c>
      <c r="F44" s="17" t="n">
        <f aca="false">Gaby!D44+Gerson!D44</f>
        <v>421.92</v>
      </c>
      <c r="G44" s="17" t="n">
        <f aca="false">E44-F44</f>
        <v>1666.67</v>
      </c>
      <c r="H44" s="17" t="n">
        <f aca="false">Gaby!I44+Gerson!I44</f>
        <v>34999.87</v>
      </c>
      <c r="I44" s="36" t="n">
        <f aca="false">Amortización!C44</f>
        <v>2088.59</v>
      </c>
      <c r="J44" s="36" t="n">
        <f aca="false">Amortización!F44</f>
        <v>34999.87</v>
      </c>
      <c r="K44" s="6" t="str">
        <f aca="false">IF(COUNT(Gaby!F44,Gerson!F44)=2,"Pagado",IF(COUNT(Gaby!F44,Gerson!F44)=1,"Parcial","Proyectado"))</f>
        <v>Proyectado</v>
      </c>
    </row>
    <row r="45" customFormat="false" ht="15" hidden="false" customHeight="false" outlineLevel="0" collapsed="false">
      <c r="A45" s="38" t="n">
        <f aca="false">Amortización!A45</f>
        <v>40</v>
      </c>
      <c r="B45" s="39" t="n">
        <f aca="false">Amortización!B45</f>
        <v>47269</v>
      </c>
      <c r="C45" s="46" t="n">
        <f aca="false">Gaby!G45</f>
        <v>772.06</v>
      </c>
      <c r="D45" s="46" t="n">
        <f aca="false">Gerson!G45</f>
        <v>1310.77</v>
      </c>
      <c r="E45" s="40" t="n">
        <f aca="false">C45+D45</f>
        <v>2082.83</v>
      </c>
      <c r="F45" s="40" t="n">
        <f aca="false">Gaby!D45+Gerson!D45</f>
        <v>416.16</v>
      </c>
      <c r="G45" s="40" t="n">
        <f aca="false">E45-F45</f>
        <v>1666.67</v>
      </c>
      <c r="H45" s="40" t="n">
        <f aca="false">Gaby!I45+Gerson!I45</f>
        <v>33333.2</v>
      </c>
      <c r="I45" s="46" t="n">
        <f aca="false">Amortización!C45</f>
        <v>2082.83</v>
      </c>
      <c r="J45" s="46" t="n">
        <f aca="false">Amortización!F45</f>
        <v>33333.2</v>
      </c>
      <c r="K45" s="13" t="str">
        <f aca="false">IF(COUNT(Gaby!F45,Gerson!F45)=2,"Pagado",IF(COUNT(Gaby!F45,Gerson!F45)=1,"Parcial","Proyectado"))</f>
        <v>Proyectado</v>
      </c>
    </row>
    <row r="46" customFormat="false" ht="15" hidden="false" customHeight="false" outlineLevel="0" collapsed="false">
      <c r="A46" s="33" t="n">
        <f aca="false">Amortización!A46</f>
        <v>41</v>
      </c>
      <c r="B46" s="34" t="n">
        <f aca="false">Amortización!B46</f>
        <v>47299</v>
      </c>
      <c r="C46" s="36" t="n">
        <f aca="false">Gaby!G46</f>
        <v>759.98</v>
      </c>
      <c r="D46" s="36" t="n">
        <f aca="false">Gerson!G46</f>
        <v>1290.25</v>
      </c>
      <c r="E46" s="17" t="n">
        <f aca="false">C46+D46</f>
        <v>2050.23</v>
      </c>
      <c r="F46" s="17" t="n">
        <f aca="false">Gaby!D46+Gerson!D46</f>
        <v>383.56</v>
      </c>
      <c r="G46" s="17" t="n">
        <f aca="false">E46-F46</f>
        <v>1666.67</v>
      </c>
      <c r="H46" s="17" t="n">
        <f aca="false">Gaby!I46+Gerson!I46</f>
        <v>31666.53</v>
      </c>
      <c r="I46" s="36" t="n">
        <f aca="false">Amortización!C46</f>
        <v>2050.23</v>
      </c>
      <c r="J46" s="36" t="n">
        <f aca="false">Amortización!F46</f>
        <v>31666.53</v>
      </c>
      <c r="K46" s="6" t="str">
        <f aca="false">IF(COUNT(Gaby!F46,Gerson!F46)=2,"Pagado",IF(COUNT(Gaby!F46,Gerson!F46)=1,"Parcial","Proyectado"))</f>
        <v>Proyectado</v>
      </c>
    </row>
    <row r="47" customFormat="false" ht="15" hidden="false" customHeight="false" outlineLevel="0" collapsed="false">
      <c r="A47" s="38" t="n">
        <f aca="false">Amortización!A47</f>
        <v>42</v>
      </c>
      <c r="B47" s="39" t="n">
        <f aca="false">Amortización!B47</f>
        <v>47330</v>
      </c>
      <c r="C47" s="46" t="n">
        <f aca="false">Gaby!G47</f>
        <v>757.37</v>
      </c>
      <c r="D47" s="46" t="n">
        <f aca="false">Gerson!G47</f>
        <v>1285.83</v>
      </c>
      <c r="E47" s="40" t="n">
        <f aca="false">C47+D47</f>
        <v>2043.2</v>
      </c>
      <c r="F47" s="40" t="n">
        <f aca="false">Gaby!D47+Gerson!D47</f>
        <v>376.53</v>
      </c>
      <c r="G47" s="40" t="n">
        <f aca="false">E47-F47</f>
        <v>1666.67</v>
      </c>
      <c r="H47" s="40" t="n">
        <f aca="false">Gaby!I47+Gerson!I47</f>
        <v>29999.86</v>
      </c>
      <c r="I47" s="46" t="n">
        <f aca="false">Amortización!C47</f>
        <v>2043.2</v>
      </c>
      <c r="J47" s="46" t="n">
        <f aca="false">Amortización!F47</f>
        <v>29999.86</v>
      </c>
      <c r="K47" s="13" t="str">
        <f aca="false">IF(COUNT(Gaby!F47,Gerson!F47)=2,"Pagado",IF(COUNT(Gaby!F47,Gerson!F47)=1,"Parcial","Proyectado"))</f>
        <v>Proyectado</v>
      </c>
    </row>
    <row r="48" customFormat="false" ht="15" hidden="false" customHeight="false" outlineLevel="0" collapsed="false">
      <c r="A48" s="33" t="n">
        <f aca="false">Amortización!A48</f>
        <v>43</v>
      </c>
      <c r="B48" s="34" t="n">
        <f aca="false">Amortización!B48</f>
        <v>47361</v>
      </c>
      <c r="C48" s="36" t="n">
        <f aca="false">Gaby!G48</f>
        <v>750.02</v>
      </c>
      <c r="D48" s="36" t="n">
        <f aca="false">Gerson!G48</f>
        <v>1273.36</v>
      </c>
      <c r="E48" s="17" t="n">
        <f aca="false">C48+D48</f>
        <v>2023.38</v>
      </c>
      <c r="F48" s="17" t="n">
        <f aca="false">Gaby!D48+Gerson!D48</f>
        <v>356.71</v>
      </c>
      <c r="G48" s="17" t="n">
        <f aca="false">E48-F48</f>
        <v>1666.67</v>
      </c>
      <c r="H48" s="17" t="n">
        <f aca="false">Gaby!I48+Gerson!I48</f>
        <v>28333.19</v>
      </c>
      <c r="I48" s="36" t="n">
        <f aca="false">Amortización!C48</f>
        <v>2023.38</v>
      </c>
      <c r="J48" s="36" t="n">
        <f aca="false">Amortización!F48</f>
        <v>28333.19</v>
      </c>
      <c r="K48" s="6" t="str">
        <f aca="false">IF(COUNT(Gaby!F48,Gerson!F48)=2,"Pagado",IF(COUNT(Gaby!F48,Gerson!F48)=1,"Parcial","Proyectado"))</f>
        <v>Proyectado</v>
      </c>
    </row>
    <row r="49" customFormat="false" ht="15" hidden="false" customHeight="false" outlineLevel="0" collapsed="false">
      <c r="A49" s="38" t="n">
        <f aca="false">Amortización!A49</f>
        <v>44</v>
      </c>
      <c r="B49" s="39" t="n">
        <f aca="false">Amortización!B49</f>
        <v>47391</v>
      </c>
      <c r="C49" s="46" t="n">
        <f aca="false">Gaby!G49</f>
        <v>738.65</v>
      </c>
      <c r="D49" s="46" t="n">
        <f aca="false">Gerson!G49</f>
        <v>1254.05</v>
      </c>
      <c r="E49" s="40" t="n">
        <f aca="false">C49+D49</f>
        <v>1992.7</v>
      </c>
      <c r="F49" s="40" t="n">
        <f aca="false">Gaby!D49+Gerson!D49</f>
        <v>326.03</v>
      </c>
      <c r="G49" s="40" t="n">
        <f aca="false">E49-F49</f>
        <v>1666.67</v>
      </c>
      <c r="H49" s="40" t="n">
        <f aca="false">Gaby!I49+Gerson!I49</f>
        <v>26666.52</v>
      </c>
      <c r="I49" s="46" t="n">
        <f aca="false">Amortización!C49</f>
        <v>1992.7</v>
      </c>
      <c r="J49" s="46" t="n">
        <f aca="false">Amortización!F49</f>
        <v>26666.52</v>
      </c>
      <c r="K49" s="13" t="str">
        <f aca="false">IF(COUNT(Gaby!F49,Gerson!F49)=2,"Pagado",IF(COUNT(Gaby!F49,Gerson!F49)=1,"Parcial","Proyectado"))</f>
        <v>Proyectado</v>
      </c>
    </row>
    <row r="50" customFormat="false" ht="15" hidden="false" customHeight="false" outlineLevel="0" collapsed="false">
      <c r="A50" s="33" t="n">
        <f aca="false">Amortización!A50</f>
        <v>45</v>
      </c>
      <c r="B50" s="34" t="n">
        <f aca="false">Amortización!B50</f>
        <v>47422</v>
      </c>
      <c r="C50" s="36" t="n">
        <f aca="false">Gaby!G50</f>
        <v>735.33</v>
      </c>
      <c r="D50" s="36" t="n">
        <f aca="false">Gerson!G50</f>
        <v>1248.42</v>
      </c>
      <c r="E50" s="17" t="n">
        <f aca="false">C50+D50</f>
        <v>1983.75</v>
      </c>
      <c r="F50" s="17" t="n">
        <f aca="false">Gaby!D50+Gerson!D50</f>
        <v>317.08</v>
      </c>
      <c r="G50" s="17" t="n">
        <f aca="false">E50-F50</f>
        <v>1666.67</v>
      </c>
      <c r="H50" s="17" t="n">
        <f aca="false">Gaby!I50+Gerson!I50</f>
        <v>24999.85</v>
      </c>
      <c r="I50" s="36" t="n">
        <f aca="false">Amortización!C50</f>
        <v>1983.75</v>
      </c>
      <c r="J50" s="36" t="n">
        <f aca="false">Amortización!F50</f>
        <v>24999.85</v>
      </c>
      <c r="K50" s="6" t="str">
        <f aca="false">IF(COUNT(Gaby!F50,Gerson!F50)=2,"Pagado",IF(COUNT(Gaby!F50,Gerson!F50)=1,"Parcial","Proyectado"))</f>
        <v>Proyectado</v>
      </c>
    </row>
    <row r="51" customFormat="false" ht="15" hidden="false" customHeight="false" outlineLevel="0" collapsed="false">
      <c r="A51" s="38" t="n">
        <f aca="false">Amortización!A51</f>
        <v>46</v>
      </c>
      <c r="B51" s="39" t="n">
        <f aca="false">Amortización!B51</f>
        <v>47452</v>
      </c>
      <c r="C51" s="46" t="n">
        <f aca="false">Gaby!G51</f>
        <v>724.43</v>
      </c>
      <c r="D51" s="46" t="n">
        <f aca="false">Gerson!G51</f>
        <v>1229.91</v>
      </c>
      <c r="E51" s="40" t="n">
        <f aca="false">C51+D51</f>
        <v>1954.34</v>
      </c>
      <c r="F51" s="40" t="n">
        <f aca="false">Gaby!D51+Gerson!D51</f>
        <v>287.67</v>
      </c>
      <c r="G51" s="40" t="n">
        <f aca="false">E51-F51</f>
        <v>1666.67</v>
      </c>
      <c r="H51" s="40" t="n">
        <f aca="false">Gaby!I51+Gerson!I51</f>
        <v>23333.18</v>
      </c>
      <c r="I51" s="46" t="n">
        <f aca="false">Amortización!C51</f>
        <v>1954.34</v>
      </c>
      <c r="J51" s="46" t="n">
        <f aca="false">Amortización!F51</f>
        <v>23333.18</v>
      </c>
      <c r="K51" s="13" t="str">
        <f aca="false">IF(COUNT(Gaby!F51,Gerson!F51)=2,"Pagado",IF(COUNT(Gaby!F51,Gerson!F51)=1,"Parcial","Proyectado"))</f>
        <v>Proyectado</v>
      </c>
    </row>
    <row r="52" customFormat="false" ht="15" hidden="false" customHeight="false" outlineLevel="0" collapsed="false">
      <c r="A52" s="33" t="n">
        <f aca="false">Amortización!A52</f>
        <v>47</v>
      </c>
      <c r="B52" s="34" t="n">
        <f aca="false">Amortización!B52</f>
        <v>47483</v>
      </c>
      <c r="C52" s="36" t="n">
        <f aca="false">Gaby!G52</f>
        <v>720.64</v>
      </c>
      <c r="D52" s="36" t="n">
        <f aca="false">Gerson!G52</f>
        <v>1223.47</v>
      </c>
      <c r="E52" s="17" t="n">
        <f aca="false">C52+D52</f>
        <v>1944.11</v>
      </c>
      <c r="F52" s="17" t="n">
        <f aca="false">Gaby!D52+Gerson!D52</f>
        <v>277.44</v>
      </c>
      <c r="G52" s="17" t="n">
        <f aca="false">E52-F52</f>
        <v>1666.67</v>
      </c>
      <c r="H52" s="17" t="n">
        <f aca="false">Gaby!I52+Gerson!I52</f>
        <v>21666.51</v>
      </c>
      <c r="I52" s="36" t="n">
        <f aca="false">Amortización!C52</f>
        <v>1944.11</v>
      </c>
      <c r="J52" s="36" t="n">
        <f aca="false">Amortización!F52</f>
        <v>21666.51</v>
      </c>
      <c r="K52" s="6" t="str">
        <f aca="false">IF(COUNT(Gaby!F52,Gerson!F52)=2,"Pagado",IF(COUNT(Gaby!F52,Gerson!F52)=1,"Parcial","Proyectado"))</f>
        <v>Proyectado</v>
      </c>
    </row>
    <row r="53" customFormat="false" ht="15" hidden="false" customHeight="false" outlineLevel="0" collapsed="false">
      <c r="A53" s="38" t="n">
        <f aca="false">Amortización!A53</f>
        <v>48</v>
      </c>
      <c r="B53" s="39" t="n">
        <f aca="false">Amortización!B53</f>
        <v>47514</v>
      </c>
      <c r="C53" s="46" t="n">
        <f aca="false">Gaby!G53</f>
        <v>713.3</v>
      </c>
      <c r="D53" s="46" t="n">
        <f aca="false">Gerson!G53</f>
        <v>1210.99</v>
      </c>
      <c r="E53" s="40" t="n">
        <f aca="false">C53+D53</f>
        <v>1924.29</v>
      </c>
      <c r="F53" s="40" t="n">
        <f aca="false">Gaby!D53+Gerson!D53</f>
        <v>257.62</v>
      </c>
      <c r="G53" s="40" t="n">
        <f aca="false">E53-F53</f>
        <v>1666.67</v>
      </c>
      <c r="H53" s="40" t="n">
        <f aca="false">Gaby!I53+Gerson!I53</f>
        <v>19999.84</v>
      </c>
      <c r="I53" s="46" t="n">
        <f aca="false">Amortización!C53</f>
        <v>1924.29</v>
      </c>
      <c r="J53" s="46" t="n">
        <f aca="false">Amortización!F53</f>
        <v>19999.84</v>
      </c>
      <c r="K53" s="13" t="str">
        <f aca="false">IF(COUNT(Gaby!F53,Gerson!F53)=2,"Pagado",IF(COUNT(Gaby!F53,Gerson!F53)=1,"Parcial","Proyectado"))</f>
        <v>Proyectado</v>
      </c>
    </row>
    <row r="54" customFormat="false" ht="15" hidden="false" customHeight="false" outlineLevel="0" collapsed="false">
      <c r="A54" s="33" t="n">
        <f aca="false">Amortización!A54</f>
        <v>49</v>
      </c>
      <c r="B54" s="34" t="n">
        <f aca="false">Amortización!B54</f>
        <v>47542</v>
      </c>
      <c r="C54" s="36" t="n">
        <f aca="false">Gaby!G54</f>
        <v>697.42</v>
      </c>
      <c r="D54" s="36" t="n">
        <f aca="false">Gerson!G54</f>
        <v>1184.04</v>
      </c>
      <c r="E54" s="17" t="n">
        <f aca="false">C54+D54</f>
        <v>1881.46</v>
      </c>
      <c r="F54" s="17" t="n">
        <f aca="false">Gaby!D54+Gerson!D54</f>
        <v>214.79</v>
      </c>
      <c r="G54" s="17" t="n">
        <f aca="false">E54-F54</f>
        <v>1666.67</v>
      </c>
      <c r="H54" s="17" t="n">
        <f aca="false">Gaby!I54+Gerson!I54</f>
        <v>18333.17</v>
      </c>
      <c r="I54" s="36" t="n">
        <f aca="false">Amortización!C54</f>
        <v>1881.46</v>
      </c>
      <c r="J54" s="36" t="n">
        <f aca="false">Amortización!F54</f>
        <v>18333.17</v>
      </c>
      <c r="K54" s="6" t="str">
        <f aca="false">IF(COUNT(Gaby!F54,Gerson!F54)=2,"Pagado",IF(COUNT(Gaby!F54,Gerson!F54)=1,"Parcial","Proyectado"))</f>
        <v>Proyectado</v>
      </c>
    </row>
    <row r="55" customFormat="false" ht="15" hidden="false" customHeight="false" outlineLevel="0" collapsed="false">
      <c r="A55" s="38" t="n">
        <f aca="false">Amortización!A55</f>
        <v>50</v>
      </c>
      <c r="B55" s="39" t="n">
        <f aca="false">Amortización!B55</f>
        <v>47573</v>
      </c>
      <c r="C55" s="46" t="n">
        <f aca="false">Gaby!G55</f>
        <v>698.6</v>
      </c>
      <c r="D55" s="46" t="n">
        <f aca="false">Gerson!G55</f>
        <v>1186.06</v>
      </c>
      <c r="E55" s="40" t="n">
        <f aca="false">C55+D55</f>
        <v>1884.66</v>
      </c>
      <c r="F55" s="40" t="n">
        <f aca="false">Gaby!D55+Gerson!D55</f>
        <v>217.99</v>
      </c>
      <c r="G55" s="40" t="n">
        <f aca="false">E55-F55</f>
        <v>1666.67</v>
      </c>
      <c r="H55" s="40" t="n">
        <f aca="false">Gaby!I55+Gerson!I55</f>
        <v>16666.5</v>
      </c>
      <c r="I55" s="46" t="n">
        <f aca="false">Amortización!C55</f>
        <v>1884.66</v>
      </c>
      <c r="J55" s="46" t="n">
        <f aca="false">Amortización!F55</f>
        <v>16666.5</v>
      </c>
      <c r="K55" s="13" t="str">
        <f aca="false">IF(COUNT(Gaby!F55,Gerson!F55)=2,"Pagado",IF(COUNT(Gaby!F55,Gerson!F55)=1,"Parcial","Proyectado"))</f>
        <v>Proyectado</v>
      </c>
    </row>
    <row r="56" customFormat="false" ht="15" hidden="false" customHeight="false" outlineLevel="0" collapsed="false">
      <c r="A56" s="33" t="n">
        <f aca="false">Amortización!A56</f>
        <v>51</v>
      </c>
      <c r="B56" s="34" t="n">
        <f aca="false">Amortización!B56</f>
        <v>47603</v>
      </c>
      <c r="C56" s="36" t="n">
        <f aca="false">Gaby!G56</f>
        <v>688.89</v>
      </c>
      <c r="D56" s="36" t="n">
        <f aca="false">Gerson!G56</f>
        <v>1169.56</v>
      </c>
      <c r="E56" s="17" t="n">
        <f aca="false">C56+D56</f>
        <v>1858.45</v>
      </c>
      <c r="F56" s="17" t="n">
        <f aca="false">Gaby!D56+Gerson!D56</f>
        <v>191.78</v>
      </c>
      <c r="G56" s="17" t="n">
        <f aca="false">E56-F56</f>
        <v>1666.67</v>
      </c>
      <c r="H56" s="17" t="n">
        <f aca="false">Gaby!I56+Gerson!I56</f>
        <v>14999.83</v>
      </c>
      <c r="I56" s="36" t="n">
        <f aca="false">Amortización!C56</f>
        <v>1858.45</v>
      </c>
      <c r="J56" s="36" t="n">
        <f aca="false">Amortización!F56</f>
        <v>14999.83</v>
      </c>
      <c r="K56" s="6" t="str">
        <f aca="false">IF(COUNT(Gaby!F56,Gerson!F56)=2,"Pagado",IF(COUNT(Gaby!F56,Gerson!F56)=1,"Parcial","Proyectado"))</f>
        <v>Proyectado</v>
      </c>
    </row>
    <row r="57" customFormat="false" ht="15" hidden="false" customHeight="false" outlineLevel="0" collapsed="false">
      <c r="A57" s="38" t="n">
        <f aca="false">Amortización!A57</f>
        <v>52</v>
      </c>
      <c r="B57" s="39" t="n">
        <f aca="false">Amortización!B57</f>
        <v>47634</v>
      </c>
      <c r="C57" s="46" t="n">
        <f aca="false">Gaby!G57</f>
        <v>683.91</v>
      </c>
      <c r="D57" s="46" t="n">
        <f aca="false">Gerson!G57</f>
        <v>1161.11</v>
      </c>
      <c r="E57" s="40" t="n">
        <f aca="false">C57+D57</f>
        <v>1845.02</v>
      </c>
      <c r="F57" s="40" t="n">
        <f aca="false">Gaby!D57+Gerson!D57</f>
        <v>178.35</v>
      </c>
      <c r="G57" s="40" t="n">
        <f aca="false">E57-F57</f>
        <v>1666.67</v>
      </c>
      <c r="H57" s="40" t="n">
        <f aca="false">Gaby!I57+Gerson!I57</f>
        <v>13333.16</v>
      </c>
      <c r="I57" s="46" t="n">
        <f aca="false">Amortización!C57</f>
        <v>1845.02</v>
      </c>
      <c r="J57" s="46" t="n">
        <f aca="false">Amortización!F57</f>
        <v>13333.16</v>
      </c>
      <c r="K57" s="13" t="str">
        <f aca="false">IF(COUNT(Gaby!F57,Gerson!F57)=2,"Pagado",IF(COUNT(Gaby!F57,Gerson!F57)=1,"Parcial","Proyectado"))</f>
        <v>Proyectado</v>
      </c>
    </row>
    <row r="58" customFormat="false" ht="15" hidden="false" customHeight="false" outlineLevel="0" collapsed="false">
      <c r="A58" s="33" t="n">
        <f aca="false">Amortización!A58</f>
        <v>53</v>
      </c>
      <c r="B58" s="34" t="n">
        <f aca="false">Amortización!B58</f>
        <v>47664</v>
      </c>
      <c r="C58" s="36" t="n">
        <f aca="false">Gaby!G58</f>
        <v>674.67</v>
      </c>
      <c r="D58" s="36" t="n">
        <f aca="false">Gerson!G58</f>
        <v>1145.42</v>
      </c>
      <c r="E58" s="17" t="n">
        <f aca="false">C58+D58</f>
        <v>1820.09</v>
      </c>
      <c r="F58" s="17" t="n">
        <f aca="false">Gaby!D58+Gerson!D58</f>
        <v>153.42</v>
      </c>
      <c r="G58" s="17" t="n">
        <f aca="false">E58-F58</f>
        <v>1666.67</v>
      </c>
      <c r="H58" s="17" t="n">
        <f aca="false">Gaby!I58+Gerson!I58</f>
        <v>11666.49</v>
      </c>
      <c r="I58" s="36" t="n">
        <f aca="false">Amortización!C58</f>
        <v>1820.09</v>
      </c>
      <c r="J58" s="36" t="n">
        <f aca="false">Amortización!F58</f>
        <v>11666.49</v>
      </c>
      <c r="K58" s="6" t="str">
        <f aca="false">IF(COUNT(Gaby!F58,Gerson!F58)=2,"Pagado",IF(COUNT(Gaby!F58,Gerson!F58)=1,"Parcial","Proyectado"))</f>
        <v>Proyectado</v>
      </c>
    </row>
    <row r="59" customFormat="false" ht="15" hidden="false" customHeight="false" outlineLevel="0" collapsed="false">
      <c r="A59" s="38" t="n">
        <f aca="false">Amortización!A59</f>
        <v>54</v>
      </c>
      <c r="B59" s="39" t="n">
        <f aca="false">Amortización!B59</f>
        <v>47695</v>
      </c>
      <c r="C59" s="46" t="n">
        <f aca="false">Gaby!G59</f>
        <v>669.22</v>
      </c>
      <c r="D59" s="46" t="n">
        <f aca="false">Gerson!G59</f>
        <v>1136.17</v>
      </c>
      <c r="E59" s="40" t="n">
        <f aca="false">C59+D59</f>
        <v>1805.39</v>
      </c>
      <c r="F59" s="40" t="n">
        <f aca="false">Gaby!D59+Gerson!D59</f>
        <v>138.72</v>
      </c>
      <c r="G59" s="40" t="n">
        <f aca="false">E59-F59</f>
        <v>1666.67</v>
      </c>
      <c r="H59" s="40" t="n">
        <f aca="false">Gaby!I59+Gerson!I59</f>
        <v>9999.82</v>
      </c>
      <c r="I59" s="46" t="n">
        <f aca="false">Amortización!C59</f>
        <v>1805.39</v>
      </c>
      <c r="J59" s="46" t="n">
        <f aca="false">Amortización!F59</f>
        <v>9999.82</v>
      </c>
      <c r="K59" s="13" t="str">
        <f aca="false">IF(COUNT(Gaby!F59,Gerson!F59)=2,"Pagado",IF(COUNT(Gaby!F59,Gerson!F59)=1,"Parcial","Proyectado"))</f>
        <v>Proyectado</v>
      </c>
    </row>
    <row r="60" customFormat="false" ht="15" hidden="false" customHeight="false" outlineLevel="0" collapsed="false">
      <c r="A60" s="33" t="n">
        <f aca="false">Amortización!A60</f>
        <v>55</v>
      </c>
      <c r="B60" s="34" t="n">
        <f aca="false">Amortización!B60</f>
        <v>47726</v>
      </c>
      <c r="C60" s="36" t="n">
        <f aca="false">Gaby!G60</f>
        <v>661.87</v>
      </c>
      <c r="D60" s="36" t="n">
        <f aca="false">Gerson!G60</f>
        <v>1123.7</v>
      </c>
      <c r="E60" s="17" t="n">
        <f aca="false">C60+D60</f>
        <v>1785.57</v>
      </c>
      <c r="F60" s="17" t="n">
        <f aca="false">Gaby!D60+Gerson!D60</f>
        <v>118.9</v>
      </c>
      <c r="G60" s="17" t="n">
        <f aca="false">E60-F60</f>
        <v>1666.67</v>
      </c>
      <c r="H60" s="17" t="n">
        <f aca="false">Gaby!I60+Gerson!I60</f>
        <v>8333.15</v>
      </c>
      <c r="I60" s="36" t="n">
        <f aca="false">Amortización!C60</f>
        <v>1785.57</v>
      </c>
      <c r="J60" s="36" t="n">
        <f aca="false">Amortización!F60</f>
        <v>8333.15</v>
      </c>
      <c r="K60" s="6" t="str">
        <f aca="false">IF(COUNT(Gaby!F60,Gerson!F60)=2,"Pagado",IF(COUNT(Gaby!F60,Gerson!F60)=1,"Parcial","Proyectado"))</f>
        <v>Proyectado</v>
      </c>
    </row>
    <row r="61" customFormat="false" ht="15" hidden="false" customHeight="false" outlineLevel="0" collapsed="false">
      <c r="A61" s="38" t="n">
        <f aca="false">Amortización!A61</f>
        <v>56</v>
      </c>
      <c r="B61" s="39" t="n">
        <f aca="false">Amortización!B61</f>
        <v>47756</v>
      </c>
      <c r="C61" s="46" t="n">
        <f aca="false">Gaby!G61</f>
        <v>653.33</v>
      </c>
      <c r="D61" s="46" t="n">
        <f aca="false">Gerson!G61</f>
        <v>1109.23</v>
      </c>
      <c r="E61" s="40" t="n">
        <f aca="false">C61+D61</f>
        <v>1762.56</v>
      </c>
      <c r="F61" s="40" t="n">
        <f aca="false">Gaby!D61+Gerson!D61</f>
        <v>95.89</v>
      </c>
      <c r="G61" s="40" t="n">
        <f aca="false">E61-F61</f>
        <v>1666.67</v>
      </c>
      <c r="H61" s="40" t="n">
        <f aca="false">Gaby!I61+Gerson!I61</f>
        <v>6666.48</v>
      </c>
      <c r="I61" s="46" t="n">
        <f aca="false">Amortización!C61</f>
        <v>1762.56</v>
      </c>
      <c r="J61" s="46" t="n">
        <f aca="false">Amortización!F61</f>
        <v>6666.48</v>
      </c>
      <c r="K61" s="13" t="str">
        <f aca="false">IF(COUNT(Gaby!F61,Gerson!F61)=2,"Pagado",IF(COUNT(Gaby!F61,Gerson!F61)=1,"Parcial","Proyectado"))</f>
        <v>Proyectado</v>
      </c>
    </row>
    <row r="62" customFormat="false" ht="15" hidden="false" customHeight="false" outlineLevel="0" collapsed="false">
      <c r="A62" s="33" t="n">
        <f aca="false">Amortización!A62</f>
        <v>57</v>
      </c>
      <c r="B62" s="34" t="n">
        <f aca="false">Amortización!B62</f>
        <v>47787</v>
      </c>
      <c r="C62" s="36" t="n">
        <f aca="false">Gaby!G62</f>
        <v>647.18</v>
      </c>
      <c r="D62" s="36" t="n">
        <f aca="false">Gerson!G62</f>
        <v>1098.76</v>
      </c>
      <c r="E62" s="17" t="n">
        <f aca="false">C62+D62</f>
        <v>1745.94</v>
      </c>
      <c r="F62" s="17" t="n">
        <f aca="false">Gaby!D62+Gerson!D62</f>
        <v>79.27</v>
      </c>
      <c r="G62" s="17" t="n">
        <f aca="false">E62-F62</f>
        <v>1666.67</v>
      </c>
      <c r="H62" s="17" t="n">
        <f aca="false">Gaby!I62+Gerson!I62</f>
        <v>4999.81</v>
      </c>
      <c r="I62" s="36" t="n">
        <f aca="false">Amortización!C62</f>
        <v>1745.94</v>
      </c>
      <c r="J62" s="36" t="n">
        <f aca="false">Amortización!F62</f>
        <v>4999.81</v>
      </c>
      <c r="K62" s="6" t="str">
        <f aca="false">IF(COUNT(Gaby!F62,Gerson!F62)=2,"Pagado",IF(COUNT(Gaby!F62,Gerson!F62)=1,"Parcial","Proyectado"))</f>
        <v>Proyectado</v>
      </c>
    </row>
    <row r="63" customFormat="false" ht="15" hidden="false" customHeight="false" outlineLevel="0" collapsed="false">
      <c r="A63" s="38" t="n">
        <f aca="false">Amortización!A63</f>
        <v>58</v>
      </c>
      <c r="B63" s="39" t="n">
        <f aca="false">Amortización!B63</f>
        <v>47817</v>
      </c>
      <c r="C63" s="46" t="n">
        <f aca="false">Gaby!G63</f>
        <v>639.12</v>
      </c>
      <c r="D63" s="46" t="n">
        <f aca="false">Gerson!G63</f>
        <v>1085.08</v>
      </c>
      <c r="E63" s="40" t="n">
        <f aca="false">C63+D63</f>
        <v>1724.2</v>
      </c>
      <c r="F63" s="40" t="n">
        <f aca="false">Gaby!D63+Gerson!D63</f>
        <v>57.53</v>
      </c>
      <c r="G63" s="40" t="n">
        <f aca="false">E63-F63</f>
        <v>1666.67</v>
      </c>
      <c r="H63" s="40" t="n">
        <f aca="false">Gaby!I63+Gerson!I63</f>
        <v>3333.14</v>
      </c>
      <c r="I63" s="46" t="n">
        <f aca="false">Amortización!C63</f>
        <v>1724.2</v>
      </c>
      <c r="J63" s="46" t="n">
        <f aca="false">Amortización!F63</f>
        <v>3333.14</v>
      </c>
      <c r="K63" s="13" t="str">
        <f aca="false">IF(COUNT(Gaby!F63,Gerson!F63)=2,"Pagado",IF(COUNT(Gaby!F63,Gerson!F63)=1,"Parcial","Proyectado"))</f>
        <v>Proyectado</v>
      </c>
    </row>
    <row r="64" customFormat="false" ht="15" hidden="false" customHeight="false" outlineLevel="0" collapsed="false">
      <c r="A64" s="33" t="n">
        <f aca="false">Amortización!A64</f>
        <v>59</v>
      </c>
      <c r="B64" s="34" t="n">
        <f aca="false">Amortización!B64</f>
        <v>47848</v>
      </c>
      <c r="C64" s="36" t="n">
        <f aca="false">Gaby!G64</f>
        <v>632.49</v>
      </c>
      <c r="D64" s="36" t="n">
        <f aca="false">Gerson!G64</f>
        <v>1073.81</v>
      </c>
      <c r="E64" s="17" t="n">
        <f aca="false">C64+D64</f>
        <v>1706.3</v>
      </c>
      <c r="F64" s="17" t="n">
        <f aca="false">Gaby!D64+Gerson!D64</f>
        <v>39.63</v>
      </c>
      <c r="G64" s="17" t="n">
        <f aca="false">E64-F64</f>
        <v>1666.67</v>
      </c>
      <c r="H64" s="17" t="n">
        <f aca="false">Gaby!I64+Gerson!I64</f>
        <v>1666.47</v>
      </c>
      <c r="I64" s="36" t="n">
        <f aca="false">Amortización!C64</f>
        <v>1706.3</v>
      </c>
      <c r="J64" s="36" t="n">
        <f aca="false">Amortización!F64</f>
        <v>1666.47</v>
      </c>
      <c r="K64" s="6" t="str">
        <f aca="false">IF(COUNT(Gaby!F64,Gerson!F64)=2,"Pagado",IF(COUNT(Gaby!F64,Gerson!F64)=1,"Parcial","Proyectado"))</f>
        <v>Proyectado</v>
      </c>
    </row>
    <row r="65" customFormat="false" ht="15" hidden="false" customHeight="false" outlineLevel="0" collapsed="false">
      <c r="A65" s="38" t="n">
        <f aca="false">Amortización!A65</f>
        <v>60</v>
      </c>
      <c r="B65" s="39" t="n">
        <f aca="false">Amortización!B65</f>
        <v>47879</v>
      </c>
      <c r="C65" s="46" t="n">
        <f aca="false">Gaby!G65</f>
        <v>625.06</v>
      </c>
      <c r="D65" s="46" t="n">
        <f aca="false">Gerson!G65</f>
        <v>1061.23</v>
      </c>
      <c r="E65" s="40" t="n">
        <f aca="false">C65+D65</f>
        <v>1686.29</v>
      </c>
      <c r="F65" s="40" t="n">
        <f aca="false">Gaby!D65+Gerson!D65</f>
        <v>19.82</v>
      </c>
      <c r="G65" s="40" t="n">
        <f aca="false">E65-F65</f>
        <v>1666.47</v>
      </c>
      <c r="H65" s="40" t="n">
        <f aca="false">Gaby!I65+Gerson!I65</f>
        <v>0</v>
      </c>
      <c r="I65" s="46" t="n">
        <f aca="false">Amortización!C65</f>
        <v>1686.29</v>
      </c>
      <c r="J65" s="46" t="n">
        <f aca="false">Amortización!F65</f>
        <v>0</v>
      </c>
      <c r="K65" s="13" t="str">
        <f aca="false">IF(COUNT(Gaby!F65,Gerson!F65)=2,"Pagado",IF(COUNT(Gaby!F65,Gerson!F65)=1,"Parcial","Proyectado"))</f>
        <v>Proyectado</v>
      </c>
    </row>
    <row r="66" customFormat="false" ht="15" hidden="false" customHeight="false" outlineLevel="0" collapsed="false">
      <c r="A66" s="27"/>
      <c r="B66" s="28" t="s">
        <v>40</v>
      </c>
      <c r="C66" s="29" t="n">
        <f aca="false">SUM(C6:C65)</f>
        <v>62788.04</v>
      </c>
      <c r="D66" s="29" t="n">
        <f aca="false">SUM(D6:D65)</f>
        <v>72745.38</v>
      </c>
      <c r="E66" s="29" t="n">
        <f aca="false">SUM(E6:E65)</f>
        <v>135533.42</v>
      </c>
      <c r="F66" s="29" t="n">
        <f aca="false">SUM(F6:F65)</f>
        <v>35533.42</v>
      </c>
      <c r="G66" s="29" t="n">
        <f aca="false">SUM(G6:G65)</f>
        <v>100000</v>
      </c>
      <c r="H66" s="27"/>
      <c r="I66" s="29" t="n">
        <f aca="false">SUM(I6:I65)</f>
        <v>135533.42</v>
      </c>
      <c r="J66" s="27"/>
      <c r="K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7"/>
    </row>
    <row r="5" customFormat="false" ht="15" hidden="false" customHeight="false" outlineLevel="0" collapsed="false">
      <c r="A5" s="6" t="n">
        <v>1</v>
      </c>
      <c r="B5" s="48" t="n">
        <v>46081</v>
      </c>
      <c r="C5" s="49" t="n">
        <v>2740.64</v>
      </c>
      <c r="D5" s="49" t="n">
        <v>1666.67</v>
      </c>
      <c r="E5" s="49" t="n">
        <v>1073.97</v>
      </c>
      <c r="F5" s="49" t="n">
        <v>98333.33</v>
      </c>
      <c r="G5" s="50"/>
    </row>
    <row r="6" customFormat="false" ht="15" hidden="false" customHeight="false" outlineLevel="0" collapsed="false">
      <c r="A6" s="13" t="n">
        <v>2</v>
      </c>
      <c r="B6" s="51" t="n">
        <v>46112</v>
      </c>
      <c r="C6" s="52" t="n">
        <v>2835.89</v>
      </c>
      <c r="D6" s="52" t="n">
        <v>1666.67</v>
      </c>
      <c r="E6" s="52" t="n">
        <v>1169.22</v>
      </c>
      <c r="F6" s="52" t="n">
        <v>96666.66</v>
      </c>
      <c r="G6" s="50"/>
    </row>
    <row r="7" customFormat="false" ht="15" hidden="false" customHeight="false" outlineLevel="0" collapsed="false">
      <c r="A7" s="6" t="n">
        <v>3</v>
      </c>
      <c r="B7" s="48" t="n">
        <v>46142</v>
      </c>
      <c r="C7" s="49" t="n">
        <v>2779</v>
      </c>
      <c r="D7" s="49" t="n">
        <v>1666.67</v>
      </c>
      <c r="E7" s="49" t="n">
        <v>1112.33</v>
      </c>
      <c r="F7" s="49" t="n">
        <v>94999.99</v>
      </c>
      <c r="G7" s="50"/>
    </row>
    <row r="8" customFormat="false" ht="15" hidden="false" customHeight="false" outlineLevel="0" collapsed="false">
      <c r="A8" s="13" t="n">
        <v>4</v>
      </c>
      <c r="B8" s="51" t="n">
        <v>46173</v>
      </c>
      <c r="C8" s="52" t="n">
        <v>2796.26</v>
      </c>
      <c r="D8" s="52" t="n">
        <v>1666.67</v>
      </c>
      <c r="E8" s="52" t="n">
        <v>1129.59</v>
      </c>
      <c r="F8" s="52" t="n">
        <v>93333.32</v>
      </c>
      <c r="G8" s="50"/>
    </row>
    <row r="9" customFormat="false" ht="15" hidden="false" customHeight="false" outlineLevel="0" collapsed="false">
      <c r="A9" s="6" t="n">
        <v>5</v>
      </c>
      <c r="B9" s="48" t="n">
        <v>46203</v>
      </c>
      <c r="C9" s="49" t="n">
        <v>2740.64</v>
      </c>
      <c r="D9" s="49" t="n">
        <v>1666.67</v>
      </c>
      <c r="E9" s="49" t="n">
        <v>1073.97</v>
      </c>
      <c r="F9" s="49" t="n">
        <v>91666.65</v>
      </c>
      <c r="G9" s="50"/>
    </row>
    <row r="10" customFormat="false" ht="15" hidden="false" customHeight="false" outlineLevel="0" collapsed="false">
      <c r="A10" s="13" t="n">
        <v>6</v>
      </c>
      <c r="B10" s="51" t="n">
        <v>46234</v>
      </c>
      <c r="C10" s="52" t="n">
        <v>2756.62</v>
      </c>
      <c r="D10" s="52" t="n">
        <v>1666.67</v>
      </c>
      <c r="E10" s="52" t="n">
        <v>1089.95</v>
      </c>
      <c r="F10" s="52" t="n">
        <v>89999.98</v>
      </c>
      <c r="G10" s="50"/>
    </row>
    <row r="11" customFormat="false" ht="15" hidden="false" customHeight="false" outlineLevel="0" collapsed="false">
      <c r="A11" s="6" t="n">
        <v>7</v>
      </c>
      <c r="B11" s="48" t="n">
        <v>46265</v>
      </c>
      <c r="C11" s="49" t="n">
        <v>2736.81</v>
      </c>
      <c r="D11" s="49" t="n">
        <v>1666.67</v>
      </c>
      <c r="E11" s="49" t="n">
        <v>1070.14</v>
      </c>
      <c r="F11" s="49" t="n">
        <v>88333.31</v>
      </c>
      <c r="G11" s="50"/>
    </row>
    <row r="12" customFormat="false" ht="15" hidden="false" customHeight="false" outlineLevel="0" collapsed="false">
      <c r="A12" s="13" t="n">
        <v>8</v>
      </c>
      <c r="B12" s="51" t="n">
        <v>46295</v>
      </c>
      <c r="C12" s="52" t="n">
        <v>2683.11</v>
      </c>
      <c r="D12" s="52" t="n">
        <v>1666.67</v>
      </c>
      <c r="E12" s="52" t="n">
        <v>1016.44</v>
      </c>
      <c r="F12" s="52" t="n">
        <v>86666.64</v>
      </c>
      <c r="G12" s="50"/>
    </row>
    <row r="13" customFormat="false" ht="15" hidden="false" customHeight="false" outlineLevel="0" collapsed="false">
      <c r="A13" s="6" t="n">
        <v>9</v>
      </c>
      <c r="B13" s="48" t="n">
        <v>46326</v>
      </c>
      <c r="C13" s="49" t="n">
        <v>2697.17</v>
      </c>
      <c r="D13" s="49" t="n">
        <v>1666.67</v>
      </c>
      <c r="E13" s="49" t="n">
        <v>1030.5</v>
      </c>
      <c r="F13" s="49" t="n">
        <v>84999.97</v>
      </c>
      <c r="G13" s="50"/>
    </row>
    <row r="14" customFormat="false" ht="15" hidden="false" customHeight="false" outlineLevel="0" collapsed="false">
      <c r="A14" s="13" t="n">
        <v>10</v>
      </c>
      <c r="B14" s="51" t="n">
        <v>46356</v>
      </c>
      <c r="C14" s="52" t="n">
        <v>2644.75</v>
      </c>
      <c r="D14" s="52" t="n">
        <v>1666.67</v>
      </c>
      <c r="E14" s="52" t="n">
        <v>978.08</v>
      </c>
      <c r="F14" s="52" t="n">
        <v>83333.3</v>
      </c>
      <c r="G14" s="50"/>
    </row>
    <row r="15" customFormat="false" ht="15" hidden="false" customHeight="false" outlineLevel="0" collapsed="false">
      <c r="A15" s="6" t="n">
        <v>11</v>
      </c>
      <c r="B15" s="48" t="n">
        <v>46387</v>
      </c>
      <c r="C15" s="49" t="n">
        <v>2657.54</v>
      </c>
      <c r="D15" s="49" t="n">
        <v>1666.67</v>
      </c>
      <c r="E15" s="49" t="n">
        <v>990.87</v>
      </c>
      <c r="F15" s="49" t="n">
        <v>81666.63</v>
      </c>
      <c r="G15" s="50"/>
    </row>
    <row r="16" customFormat="false" ht="15" hidden="false" customHeight="false" outlineLevel="0" collapsed="false">
      <c r="A16" s="13" t="n">
        <v>12</v>
      </c>
      <c r="B16" s="51" t="n">
        <v>46418</v>
      </c>
      <c r="C16" s="52" t="n">
        <v>2637.72</v>
      </c>
      <c r="D16" s="52" t="n">
        <v>1666.67</v>
      </c>
      <c r="E16" s="52" t="n">
        <v>971.05</v>
      </c>
      <c r="F16" s="52" t="n">
        <v>79999.96</v>
      </c>
      <c r="G16" s="50"/>
    </row>
    <row r="17" customFormat="false" ht="15" hidden="false" customHeight="false" outlineLevel="0" collapsed="false">
      <c r="A17" s="6" t="n">
        <v>13</v>
      </c>
      <c r="B17" s="48" t="n">
        <v>46446</v>
      </c>
      <c r="C17" s="49" t="n">
        <v>2525.85</v>
      </c>
      <c r="D17" s="49" t="n">
        <v>1666.67</v>
      </c>
      <c r="E17" s="49" t="n">
        <v>859.18</v>
      </c>
      <c r="F17" s="49" t="n">
        <v>78333.29</v>
      </c>
      <c r="G17" s="50"/>
    </row>
    <row r="18" customFormat="false" ht="15" hidden="false" customHeight="false" outlineLevel="0" collapsed="false">
      <c r="A18" s="13" t="n">
        <v>14</v>
      </c>
      <c r="B18" s="51" t="n">
        <v>46477</v>
      </c>
      <c r="C18" s="52" t="n">
        <v>2598.09</v>
      </c>
      <c r="D18" s="52" t="n">
        <v>1666.67</v>
      </c>
      <c r="E18" s="52" t="n">
        <v>931.42</v>
      </c>
      <c r="F18" s="52" t="n">
        <v>76666.62</v>
      </c>
      <c r="G18" s="50"/>
    </row>
    <row r="19" customFormat="false" ht="15" hidden="false" customHeight="false" outlineLevel="0" collapsed="false">
      <c r="A19" s="6" t="n">
        <v>15</v>
      </c>
      <c r="B19" s="48" t="n">
        <v>46507</v>
      </c>
      <c r="C19" s="49" t="n">
        <v>2548.86</v>
      </c>
      <c r="D19" s="49" t="n">
        <v>1666.67</v>
      </c>
      <c r="E19" s="49" t="n">
        <v>882.19</v>
      </c>
      <c r="F19" s="49" t="n">
        <v>74999.95</v>
      </c>
      <c r="G19" s="50"/>
    </row>
    <row r="20" customFormat="false" ht="15" hidden="false" customHeight="false" outlineLevel="0" collapsed="false">
      <c r="A20" s="13" t="n">
        <v>16</v>
      </c>
      <c r="B20" s="51" t="n">
        <v>46538</v>
      </c>
      <c r="C20" s="52" t="n">
        <v>2558.45</v>
      </c>
      <c r="D20" s="52" t="n">
        <v>1666.67</v>
      </c>
      <c r="E20" s="52" t="n">
        <v>891.78</v>
      </c>
      <c r="F20" s="52" t="n">
        <v>73333.28</v>
      </c>
      <c r="G20" s="50"/>
    </row>
    <row r="21" customFormat="false" ht="15" hidden="false" customHeight="false" outlineLevel="0" collapsed="false">
      <c r="A21" s="6" t="n">
        <v>17</v>
      </c>
      <c r="B21" s="48" t="n">
        <v>46568</v>
      </c>
      <c r="C21" s="49" t="n">
        <v>2510.51</v>
      </c>
      <c r="D21" s="49" t="n">
        <v>1666.67</v>
      </c>
      <c r="E21" s="49" t="n">
        <v>843.84</v>
      </c>
      <c r="F21" s="49" t="n">
        <v>71666.61</v>
      </c>
      <c r="G21" s="50"/>
    </row>
    <row r="22" customFormat="false" ht="15" hidden="false" customHeight="false" outlineLevel="0" collapsed="false">
      <c r="A22" s="13" t="n">
        <v>18</v>
      </c>
      <c r="B22" s="51" t="n">
        <v>46599</v>
      </c>
      <c r="C22" s="52" t="n">
        <v>2518.82</v>
      </c>
      <c r="D22" s="52" t="n">
        <v>1666.67</v>
      </c>
      <c r="E22" s="52" t="n">
        <v>852.15</v>
      </c>
      <c r="F22" s="52" t="n">
        <v>69999.94</v>
      </c>
      <c r="G22" s="50"/>
    </row>
    <row r="23" customFormat="false" ht="15" hidden="false" customHeight="false" outlineLevel="0" collapsed="false">
      <c r="A23" s="6" t="n">
        <v>19</v>
      </c>
      <c r="B23" s="48" t="n">
        <v>46630</v>
      </c>
      <c r="C23" s="49" t="n">
        <v>2499</v>
      </c>
      <c r="D23" s="49" t="n">
        <v>1666.67</v>
      </c>
      <c r="E23" s="49" t="n">
        <v>832.33</v>
      </c>
      <c r="F23" s="49" t="n">
        <v>68333.27</v>
      </c>
      <c r="G23" s="50"/>
    </row>
    <row r="24" customFormat="false" ht="15" hidden="false" customHeight="false" outlineLevel="0" collapsed="false">
      <c r="A24" s="13" t="n">
        <v>20</v>
      </c>
      <c r="B24" s="51" t="n">
        <v>46660</v>
      </c>
      <c r="C24" s="52" t="n">
        <v>2452.97</v>
      </c>
      <c r="D24" s="52" t="n">
        <v>1666.67</v>
      </c>
      <c r="E24" s="52" t="n">
        <v>786.3</v>
      </c>
      <c r="F24" s="52" t="n">
        <v>66666.6</v>
      </c>
      <c r="G24" s="50"/>
    </row>
    <row r="25" customFormat="false" ht="15" hidden="false" customHeight="false" outlineLevel="0" collapsed="false">
      <c r="A25" s="6" t="n">
        <v>21</v>
      </c>
      <c r="B25" s="48" t="n">
        <v>46691</v>
      </c>
      <c r="C25" s="49" t="n">
        <v>2459.36</v>
      </c>
      <c r="D25" s="49" t="n">
        <v>1666.67</v>
      </c>
      <c r="E25" s="49" t="n">
        <v>792.69</v>
      </c>
      <c r="F25" s="49" t="n">
        <v>64999.93</v>
      </c>
      <c r="G25" s="50"/>
    </row>
    <row r="26" customFormat="false" ht="15" hidden="false" customHeight="false" outlineLevel="0" collapsed="false">
      <c r="A26" s="13" t="n">
        <v>22</v>
      </c>
      <c r="B26" s="51" t="n">
        <v>46721</v>
      </c>
      <c r="C26" s="52" t="n">
        <v>2414.61</v>
      </c>
      <c r="D26" s="52" t="n">
        <v>1666.67</v>
      </c>
      <c r="E26" s="52" t="n">
        <v>747.94</v>
      </c>
      <c r="F26" s="52" t="n">
        <v>63333.26</v>
      </c>
      <c r="G26" s="50"/>
    </row>
    <row r="27" customFormat="false" ht="15" hidden="false" customHeight="false" outlineLevel="0" collapsed="false">
      <c r="A27" s="6" t="n">
        <v>23</v>
      </c>
      <c r="B27" s="48" t="n">
        <v>46752</v>
      </c>
      <c r="C27" s="49" t="n">
        <v>2419.73</v>
      </c>
      <c r="D27" s="49" t="n">
        <v>1666.67</v>
      </c>
      <c r="E27" s="49" t="n">
        <v>753.06</v>
      </c>
      <c r="F27" s="49" t="n">
        <v>61666.59</v>
      </c>
      <c r="G27" s="50"/>
    </row>
    <row r="28" customFormat="false" ht="15" hidden="false" customHeight="false" outlineLevel="0" collapsed="false">
      <c r="A28" s="13" t="n">
        <v>24</v>
      </c>
      <c r="B28" s="51" t="n">
        <v>46783</v>
      </c>
      <c r="C28" s="52" t="n">
        <v>2397.97</v>
      </c>
      <c r="D28" s="52" t="n">
        <v>1666.67</v>
      </c>
      <c r="E28" s="52" t="n">
        <v>731.3</v>
      </c>
      <c r="F28" s="52" t="n">
        <v>59999.92</v>
      </c>
      <c r="G28" s="50"/>
    </row>
    <row r="29" customFormat="false" ht="15" hidden="false" customHeight="false" outlineLevel="0" collapsed="false">
      <c r="A29" s="6" t="n">
        <v>25</v>
      </c>
      <c r="B29" s="48" t="n">
        <v>46812</v>
      </c>
      <c r="C29" s="49" t="n">
        <v>2332.24</v>
      </c>
      <c r="D29" s="49" t="n">
        <v>1666.67</v>
      </c>
      <c r="E29" s="49" t="n">
        <v>665.57</v>
      </c>
      <c r="F29" s="49" t="n">
        <v>58333.25</v>
      </c>
      <c r="G29" s="50"/>
    </row>
    <row r="30" customFormat="false" ht="15" hidden="false" customHeight="false" outlineLevel="0" collapsed="false">
      <c r="A30" s="13" t="n">
        <v>26</v>
      </c>
      <c r="B30" s="51" t="n">
        <v>46843</v>
      </c>
      <c r="C30" s="52" t="n">
        <v>2358.38</v>
      </c>
      <c r="D30" s="52" t="n">
        <v>1666.67</v>
      </c>
      <c r="E30" s="52" t="n">
        <v>691.71</v>
      </c>
      <c r="F30" s="52" t="n">
        <v>56666.58</v>
      </c>
      <c r="G30" s="50"/>
    </row>
    <row r="31" customFormat="false" ht="15" hidden="false" customHeight="false" outlineLevel="0" collapsed="false">
      <c r="A31" s="6" t="n">
        <v>27</v>
      </c>
      <c r="B31" s="48" t="n">
        <v>46873</v>
      </c>
      <c r="C31" s="49" t="n">
        <v>2316.94</v>
      </c>
      <c r="D31" s="49" t="n">
        <v>1666.67</v>
      </c>
      <c r="E31" s="49" t="n">
        <v>650.27</v>
      </c>
      <c r="F31" s="49" t="n">
        <v>54999.91</v>
      </c>
      <c r="G31" s="50"/>
    </row>
    <row r="32" customFormat="false" ht="15" hidden="false" customHeight="false" outlineLevel="0" collapsed="false">
      <c r="A32" s="13" t="n">
        <v>28</v>
      </c>
      <c r="B32" s="51" t="n">
        <v>46904</v>
      </c>
      <c r="C32" s="52" t="n">
        <v>2318.85</v>
      </c>
      <c r="D32" s="52" t="n">
        <v>1666.67</v>
      </c>
      <c r="E32" s="52" t="n">
        <v>652.18</v>
      </c>
      <c r="F32" s="52" t="n">
        <v>53333.24</v>
      </c>
      <c r="G32" s="50"/>
    </row>
    <row r="33" customFormat="false" ht="15" hidden="false" customHeight="false" outlineLevel="0" collapsed="false">
      <c r="A33" s="6" t="n">
        <v>29</v>
      </c>
      <c r="B33" s="48" t="n">
        <v>46934</v>
      </c>
      <c r="C33" s="49" t="n">
        <v>2278.69</v>
      </c>
      <c r="D33" s="49" t="n">
        <v>1666.67</v>
      </c>
      <c r="E33" s="49" t="n">
        <v>612.02</v>
      </c>
      <c r="F33" s="49" t="n">
        <v>51666.57</v>
      </c>
      <c r="G33" s="50"/>
    </row>
    <row r="34" customFormat="false" ht="15" hidden="false" customHeight="false" outlineLevel="0" collapsed="false">
      <c r="A34" s="13" t="n">
        <v>30</v>
      </c>
      <c r="B34" s="51" t="n">
        <v>46965</v>
      </c>
      <c r="C34" s="52" t="n">
        <v>2279.33</v>
      </c>
      <c r="D34" s="52" t="n">
        <v>1666.67</v>
      </c>
      <c r="E34" s="52" t="n">
        <v>612.66</v>
      </c>
      <c r="F34" s="52" t="n">
        <v>49999.9</v>
      </c>
      <c r="G34" s="50"/>
    </row>
    <row r="35" customFormat="false" ht="15" hidden="false" customHeight="false" outlineLevel="0" collapsed="false">
      <c r="A35" s="6" t="n">
        <v>31</v>
      </c>
      <c r="B35" s="48" t="n">
        <v>46996</v>
      </c>
      <c r="C35" s="49" t="n">
        <v>2259.56</v>
      </c>
      <c r="D35" s="49" t="n">
        <v>1666.67</v>
      </c>
      <c r="E35" s="49" t="n">
        <v>592.89</v>
      </c>
      <c r="F35" s="49" t="n">
        <v>48333.23</v>
      </c>
      <c r="G35" s="50"/>
    </row>
    <row r="36" customFormat="false" ht="15" hidden="false" customHeight="false" outlineLevel="0" collapsed="false">
      <c r="A36" s="13" t="n">
        <v>32</v>
      </c>
      <c r="B36" s="51" t="n">
        <v>47026</v>
      </c>
      <c r="C36" s="52" t="n">
        <v>2221.31</v>
      </c>
      <c r="D36" s="52" t="n">
        <v>1666.67</v>
      </c>
      <c r="E36" s="52" t="n">
        <v>554.64</v>
      </c>
      <c r="F36" s="52" t="n">
        <v>46666.56</v>
      </c>
      <c r="G36" s="50"/>
    </row>
    <row r="37" customFormat="false" ht="15" hidden="false" customHeight="false" outlineLevel="0" collapsed="false">
      <c r="A37" s="6" t="n">
        <v>33</v>
      </c>
      <c r="B37" s="48" t="n">
        <v>47057</v>
      </c>
      <c r="C37" s="49" t="n">
        <v>2220.04</v>
      </c>
      <c r="D37" s="49" t="n">
        <v>1666.67</v>
      </c>
      <c r="E37" s="49" t="n">
        <v>553.37</v>
      </c>
      <c r="F37" s="49" t="n">
        <v>44999.89</v>
      </c>
      <c r="G37" s="50"/>
    </row>
    <row r="38" customFormat="false" ht="15" hidden="false" customHeight="false" outlineLevel="0" collapsed="false">
      <c r="A38" s="13" t="n">
        <v>34</v>
      </c>
      <c r="B38" s="51" t="n">
        <v>47087</v>
      </c>
      <c r="C38" s="52" t="n">
        <v>2183.06</v>
      </c>
      <c r="D38" s="52" t="n">
        <v>1666.67</v>
      </c>
      <c r="E38" s="52" t="n">
        <v>516.39</v>
      </c>
      <c r="F38" s="52" t="n">
        <v>43333.22</v>
      </c>
      <c r="G38" s="50"/>
    </row>
    <row r="39" customFormat="false" ht="15" hidden="false" customHeight="false" outlineLevel="0" collapsed="false">
      <c r="A39" s="6" t="n">
        <v>35</v>
      </c>
      <c r="B39" s="48" t="n">
        <v>47118</v>
      </c>
      <c r="C39" s="49" t="n">
        <v>2180.51</v>
      </c>
      <c r="D39" s="49" t="n">
        <v>1666.67</v>
      </c>
      <c r="E39" s="49" t="n">
        <v>513.84</v>
      </c>
      <c r="F39" s="49" t="n">
        <v>41666.55</v>
      </c>
      <c r="G39" s="50"/>
    </row>
    <row r="40" customFormat="false" ht="15" hidden="false" customHeight="false" outlineLevel="0" collapsed="false">
      <c r="A40" s="13" t="n">
        <v>36</v>
      </c>
      <c r="B40" s="51" t="n">
        <v>47149</v>
      </c>
      <c r="C40" s="52" t="n">
        <v>2162.06</v>
      </c>
      <c r="D40" s="52" t="n">
        <v>1666.67</v>
      </c>
      <c r="E40" s="52" t="n">
        <v>495.39</v>
      </c>
      <c r="F40" s="52" t="n">
        <v>39999.88</v>
      </c>
      <c r="G40" s="50"/>
    </row>
    <row r="41" customFormat="false" ht="15" hidden="false" customHeight="false" outlineLevel="0" collapsed="false">
      <c r="A41" s="6" t="n">
        <v>37</v>
      </c>
      <c r="B41" s="48" t="n">
        <v>47177</v>
      </c>
      <c r="C41" s="49" t="n">
        <v>2096.26</v>
      </c>
      <c r="D41" s="49" t="n">
        <v>1666.67</v>
      </c>
      <c r="E41" s="49" t="n">
        <v>429.59</v>
      </c>
      <c r="F41" s="49" t="n">
        <v>38333.21</v>
      </c>
      <c r="G41" s="50"/>
    </row>
    <row r="42" customFormat="false" ht="15" hidden="false" customHeight="false" outlineLevel="0" collapsed="false">
      <c r="A42" s="13" t="n">
        <v>38</v>
      </c>
      <c r="B42" s="51" t="n">
        <v>47208</v>
      </c>
      <c r="C42" s="52" t="n">
        <v>2122.47</v>
      </c>
      <c r="D42" s="52" t="n">
        <v>1666.67</v>
      </c>
      <c r="E42" s="52" t="n">
        <v>455.8</v>
      </c>
      <c r="F42" s="52" t="n">
        <v>36666.54</v>
      </c>
      <c r="G42" s="50"/>
    </row>
    <row r="43" customFormat="false" ht="15" hidden="false" customHeight="false" outlineLevel="0" collapsed="false">
      <c r="A43" s="6" t="n">
        <v>39</v>
      </c>
      <c r="B43" s="48" t="n">
        <v>47238</v>
      </c>
      <c r="C43" s="49" t="n">
        <v>2088.59</v>
      </c>
      <c r="D43" s="49" t="n">
        <v>1666.67</v>
      </c>
      <c r="E43" s="49" t="n">
        <v>421.92</v>
      </c>
      <c r="F43" s="49" t="n">
        <v>34999.87</v>
      </c>
      <c r="G43" s="50"/>
    </row>
    <row r="44" customFormat="false" ht="15" hidden="false" customHeight="false" outlineLevel="0" collapsed="false">
      <c r="A44" s="13" t="n">
        <v>40</v>
      </c>
      <c r="B44" s="51" t="n">
        <v>47269</v>
      </c>
      <c r="C44" s="52" t="n">
        <v>2082.83</v>
      </c>
      <c r="D44" s="52" t="n">
        <v>1666.67</v>
      </c>
      <c r="E44" s="52" t="n">
        <v>416.16</v>
      </c>
      <c r="F44" s="52" t="n">
        <v>33333.2</v>
      </c>
      <c r="G44" s="50"/>
    </row>
    <row r="45" customFormat="false" ht="15" hidden="false" customHeight="false" outlineLevel="0" collapsed="false">
      <c r="A45" s="6" t="n">
        <v>41</v>
      </c>
      <c r="B45" s="48" t="n">
        <v>47299</v>
      </c>
      <c r="C45" s="49" t="n">
        <v>2050.23</v>
      </c>
      <c r="D45" s="49" t="n">
        <v>1666.67</v>
      </c>
      <c r="E45" s="49" t="n">
        <v>383.56</v>
      </c>
      <c r="F45" s="49" t="n">
        <v>31666.53</v>
      </c>
      <c r="G45" s="50"/>
    </row>
    <row r="46" customFormat="false" ht="15" hidden="false" customHeight="false" outlineLevel="0" collapsed="false">
      <c r="A46" s="13" t="n">
        <v>42</v>
      </c>
      <c r="B46" s="51" t="n">
        <v>47330</v>
      </c>
      <c r="C46" s="52" t="n">
        <v>2043.2</v>
      </c>
      <c r="D46" s="52" t="n">
        <v>1666.67</v>
      </c>
      <c r="E46" s="52" t="n">
        <v>376.53</v>
      </c>
      <c r="F46" s="52" t="n">
        <v>29999.86</v>
      </c>
      <c r="G46" s="50"/>
    </row>
    <row r="47" customFormat="false" ht="15" hidden="false" customHeight="false" outlineLevel="0" collapsed="false">
      <c r="A47" s="6" t="n">
        <v>43</v>
      </c>
      <c r="B47" s="48" t="n">
        <v>47361</v>
      </c>
      <c r="C47" s="49" t="n">
        <v>2023.38</v>
      </c>
      <c r="D47" s="49" t="n">
        <v>1666.67</v>
      </c>
      <c r="E47" s="49" t="n">
        <v>356.71</v>
      </c>
      <c r="F47" s="49" t="n">
        <v>28333.19</v>
      </c>
      <c r="G47" s="50"/>
    </row>
    <row r="48" customFormat="false" ht="15" hidden="false" customHeight="false" outlineLevel="0" collapsed="false">
      <c r="A48" s="13" t="n">
        <v>44</v>
      </c>
      <c r="B48" s="51" t="n">
        <v>47391</v>
      </c>
      <c r="C48" s="52" t="n">
        <v>1992.7</v>
      </c>
      <c r="D48" s="52" t="n">
        <v>1666.67</v>
      </c>
      <c r="E48" s="52" t="n">
        <v>326.03</v>
      </c>
      <c r="F48" s="52" t="n">
        <v>26666.52</v>
      </c>
      <c r="G48" s="50"/>
    </row>
    <row r="49" customFormat="false" ht="15" hidden="false" customHeight="false" outlineLevel="0" collapsed="false">
      <c r="A49" s="6" t="n">
        <v>45</v>
      </c>
      <c r="B49" s="48" t="n">
        <v>47422</v>
      </c>
      <c r="C49" s="49" t="n">
        <v>1983.75</v>
      </c>
      <c r="D49" s="49" t="n">
        <v>1666.67</v>
      </c>
      <c r="E49" s="49" t="n">
        <v>317.08</v>
      </c>
      <c r="F49" s="49" t="n">
        <v>24999.85</v>
      </c>
      <c r="G49" s="50"/>
    </row>
    <row r="50" customFormat="false" ht="15" hidden="false" customHeight="false" outlineLevel="0" collapsed="false">
      <c r="A50" s="13" t="n">
        <v>46</v>
      </c>
      <c r="B50" s="51" t="n">
        <v>47452</v>
      </c>
      <c r="C50" s="52" t="n">
        <v>1954.34</v>
      </c>
      <c r="D50" s="52" t="n">
        <v>1666.67</v>
      </c>
      <c r="E50" s="52" t="n">
        <v>287.67</v>
      </c>
      <c r="F50" s="52" t="n">
        <v>23333.18</v>
      </c>
      <c r="G50" s="50"/>
    </row>
    <row r="51" customFormat="false" ht="15" hidden="false" customHeight="false" outlineLevel="0" collapsed="false">
      <c r="A51" s="6" t="n">
        <v>47</v>
      </c>
      <c r="B51" s="48" t="n">
        <v>47483</v>
      </c>
      <c r="C51" s="49" t="n">
        <v>1944.11</v>
      </c>
      <c r="D51" s="49" t="n">
        <v>1666.67</v>
      </c>
      <c r="E51" s="49" t="n">
        <v>277.44</v>
      </c>
      <c r="F51" s="49" t="n">
        <v>21666.51</v>
      </c>
      <c r="G51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2026-10-03T15:57:34Z</dcterms:created>
  <dc:creator>openpyxl</dc:creator>
  <dc:description/>
  <dc:language>en-US</dc:language>
  <cp:lastModifiedBy/>
  <dcterms:modified xsi:type="dcterms:W3CDTF">2026-10-03T15:57:34Z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